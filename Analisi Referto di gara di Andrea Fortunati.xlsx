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ra_1" sheetId="1" state="visible" r:id="rId1"/>
    <sheet xmlns:r="http://schemas.openxmlformats.org/officeDocument/2006/relationships" name="Gara_2" sheetId="2" state="visible" r:id="rId2"/>
    <sheet xmlns:r="http://schemas.openxmlformats.org/officeDocument/2006/relationships" name="Gara_3" sheetId="3" state="visible" r:id="rId3"/>
    <sheet xmlns:r="http://schemas.openxmlformats.org/officeDocument/2006/relationships" name="Gara_4" sheetId="4" state="visible" r:id="rId4"/>
    <sheet xmlns:r="http://schemas.openxmlformats.org/officeDocument/2006/relationships" name="Gara_5" sheetId="5" state="visible" r:id="rId5"/>
    <sheet xmlns:r="http://schemas.openxmlformats.org/officeDocument/2006/relationships" name="Gara_6" sheetId="6" state="visible" r:id="rId6"/>
    <sheet xmlns:r="http://schemas.openxmlformats.org/officeDocument/2006/relationships" name="Gara_7" sheetId="7" state="visible" r:id="rId7"/>
    <sheet xmlns:r="http://schemas.openxmlformats.org/officeDocument/2006/relationships" name="Gara_8" sheetId="8" state="visible" r:id="rId8"/>
    <sheet xmlns:r="http://schemas.openxmlformats.org/officeDocument/2006/relationships" name="Gara_9" sheetId="9" state="visible" r:id="rId9"/>
    <sheet xmlns:r="http://schemas.openxmlformats.org/officeDocument/2006/relationships" name="Gara_10" sheetId="10" state="visible" r:id="rId10"/>
    <sheet xmlns:r="http://schemas.openxmlformats.org/officeDocument/2006/relationships" name="Gara_11" sheetId="11" state="visible" r:id="rId11"/>
    <sheet xmlns:r="http://schemas.openxmlformats.org/officeDocument/2006/relationships" name="Gara_12" sheetId="12" state="visible" r:id="rId12"/>
    <sheet xmlns:r="http://schemas.openxmlformats.org/officeDocument/2006/relationships" name="Gara_13" sheetId="13" state="visible" r:id="rId13"/>
    <sheet xmlns:r="http://schemas.openxmlformats.org/officeDocument/2006/relationships" name="Gara_14" sheetId="14" state="visible" r:id="rId14"/>
    <sheet xmlns:r="http://schemas.openxmlformats.org/officeDocument/2006/relationships" name="Gara_15" sheetId="15" state="visible" r:id="rId15"/>
    <sheet xmlns:r="http://schemas.openxmlformats.org/officeDocument/2006/relationships" name="Totali" sheetId="16" state="visible" r:id="rId1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D/M/YYYY"/>
  </numFmts>
  <fonts count="10">
    <font>
      <name val="Arial"/>
      <color rgb="FF000000"/>
      <sz val="10"/>
      <scheme val="minor"/>
    </font>
    <font>
      <name val="Arial"/>
      <b val="1"/>
      <color theme="1"/>
      <sz val="14"/>
    </font>
    <font/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z val="12"/>
    </font>
    <font>
      <name val="Arial"/>
      <b val="1"/>
      <color theme="1"/>
      <sz val="8"/>
    </font>
    <font>
      <name val="Arial"/>
      <color theme="1"/>
      <sz val="8"/>
    </font>
    <font>
      <name val="Arial"/>
      <i val="1"/>
      <color theme="1"/>
      <sz val="8"/>
    </font>
    <font>
      <name val="Arial"/>
      <i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5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164" fontId="1" fillId="2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6" fillId="6" borderId="10" applyAlignment="1" pivotButton="0" quotePrefix="0" xfId="0">
      <alignment horizontal="center" vertical="center"/>
    </xf>
    <xf numFmtId="0" fontId="6" fillId="6" borderId="11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6" borderId="13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3" borderId="33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9" fontId="6" fillId="8" borderId="4" applyAlignment="1" pivotButton="0" quotePrefix="0" xfId="0">
      <alignment horizontal="center" vertical="center"/>
    </xf>
    <xf numFmtId="164" fontId="7" fillId="0" borderId="15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horizontal="center" vertical="center"/>
    </xf>
    <xf numFmtId="9" fontId="6" fillId="8" borderId="18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164" fontId="7" fillId="0" borderId="41" applyAlignment="1" pivotButton="0" quotePrefix="0" xfId="0">
      <alignment horizontal="center" vertical="center"/>
    </xf>
    <xf numFmtId="164" fontId="7" fillId="0" borderId="42" applyAlignment="1" pivotButton="0" quotePrefix="0" xfId="0">
      <alignment horizontal="center" vertical="center"/>
    </xf>
    <xf numFmtId="164" fontId="7" fillId="0" borderId="43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6" fillId="3" borderId="47" applyAlignment="1" pivotButton="0" quotePrefix="0" xfId="0">
      <alignment horizontal="center" vertical="center"/>
    </xf>
    <xf numFmtId="164" fontId="6" fillId="8" borderId="48" applyAlignment="1" pivotButton="0" quotePrefix="0" xfId="0">
      <alignment horizontal="center" vertical="center"/>
    </xf>
    <xf numFmtId="0" fontId="7" fillId="3" borderId="37" applyAlignment="1" pivotButton="0" quotePrefix="0" xfId="0">
      <alignment horizontal="center" vertical="center"/>
    </xf>
    <xf numFmtId="0" fontId="7" fillId="3" borderId="38" applyAlignment="1" pivotButton="0" quotePrefix="0" xfId="0">
      <alignment horizontal="center" vertical="center"/>
    </xf>
    <xf numFmtId="0" fontId="7" fillId="3" borderId="49" applyAlignment="1" pivotButton="0" quotePrefix="0" xfId="0">
      <alignment horizontal="center" vertical="center"/>
    </xf>
    <xf numFmtId="0" fontId="2" fillId="0" borderId="50" pivotButton="0" quotePrefix="0" xfId="0"/>
    <xf numFmtId="164" fontId="7" fillId="9" borderId="10" applyAlignment="1" pivotButton="0" quotePrefix="0" xfId="0">
      <alignment horizontal="center" vertical="center"/>
    </xf>
    <xf numFmtId="164" fontId="7" fillId="9" borderId="12" applyAlignment="1" pivotButton="0" quotePrefix="0" xfId="0">
      <alignment horizontal="center" vertical="center"/>
    </xf>
    <xf numFmtId="164" fontId="7" fillId="9" borderId="48" applyAlignment="1" pivotButton="0" quotePrefix="0" xfId="0">
      <alignment horizontal="center" vertical="center"/>
    </xf>
    <xf numFmtId="0" fontId="6" fillId="9" borderId="4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6" fillId="7" borderId="1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7" fillId="2" borderId="5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6" fillId="6" borderId="26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1" fillId="2" borderId="4" applyAlignment="1" pivotButton="0" quotePrefix="0" xfId="0">
      <alignment horizontal="center" vertical="center"/>
    </xf>
    <xf numFmtId="165" fontId="3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8" fillId="5" borderId="53" applyAlignment="1" pivotButton="0" quotePrefix="0" xfId="0">
      <alignment horizontal="center" vertical="center"/>
    </xf>
    <xf numFmtId="0" fontId="0" fillId="0" borderId="50" pivotButton="0" quotePrefix="0" xfId="0"/>
    <xf numFmtId="0" fontId="9" fillId="5" borderId="5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Gara_1!$BA$7:$BF$7</f>
            </strRef>
          </cat>
          <val>
            <numRef>
              <f>Gara_1!$BA$9:$BF$9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Gara_1!$BJ$7:$BO$7</f>
            </strRef>
          </cat>
          <val>
            <numRef>
              <f>Gara_1!$BJ$9:$BO$9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Gara_1!$BA$14:$BF$14</f>
              <numCache/>
            </numRef>
          </val>
        </ser>
        <gapWidth val="150"/>
        <overlap val="100"/>
        <axId val="439335386"/>
        <axId val="1606434453"/>
      </barChart>
      <catAx>
        <axId val="43933538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06434453"/>
        <lblOffset val="100"/>
      </catAx>
      <valAx>
        <axId val="160643445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3933538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Gara_1!$BJ$14:$BO$14</f>
              <numCache/>
            </numRef>
          </val>
        </ser>
        <gapWidth val="150"/>
        <overlap val="100"/>
        <axId val="1933267843"/>
        <axId val="2069593780"/>
      </barChart>
      <catAx>
        <axId val="19332678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69593780"/>
        <lblOffset val="100"/>
      </catAx>
      <valAx>
        <axId val="206959378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3326784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Gara_2!$BA$9:$BF$9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Gara_2!$BJ$9:$BO$9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Gara_2!$BA$12:$BF$12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Gara_2!$BA$13:$BF$13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Gara_2!$BA$14:$BF$14</f>
              <numCache/>
            </numRef>
          </val>
        </ser>
        <gapWidth val="150"/>
        <overlap val="100"/>
        <axId val="1327960177"/>
        <axId val="1020937345"/>
      </barChart>
      <catAx>
        <axId val="13279601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20937345"/>
        <lblOffset val="100"/>
      </catAx>
      <valAx>
        <axId val="102093734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279601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Gara_2!$BJ$12:$BO$12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Gara_2!$BJ$13:$BO$13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Gara_2!$BJ$14:$BO$14</f>
              <numCache/>
            </numRef>
          </val>
        </ser>
        <gapWidth val="150"/>
        <overlap val="100"/>
        <axId val="1430797101"/>
        <axId val="1597900542"/>
      </barChart>
      <catAx>
        <axId val="14307971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97900542"/>
        <lblOffset val="100"/>
      </catAx>
      <valAx>
        <axId val="159790054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3079710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Gara_3!$BA$9:$BF$9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Gara_3!$BJ$9:$BO$9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Gara_3!$BA$12:$BF$12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Gara_3!$BA$13:$BF$13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Gara_3!$BA$14:$BF$14</f>
              <numCache/>
            </numRef>
          </val>
        </ser>
        <gapWidth val="150"/>
        <overlap val="100"/>
        <axId val="1496073752"/>
        <axId val="1452079757"/>
      </barChart>
      <catAx>
        <axId val="149607375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52079757"/>
        <lblOffset val="100"/>
      </catAx>
      <valAx>
        <axId val="145207975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9607375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Gara_3!$BJ$12:$BO$12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Gara_3!$BJ$13:$BO$13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Gara_3!$BJ$14:$BO$14</f>
              <numCache/>
            </numRef>
          </val>
        </ser>
        <gapWidth val="150"/>
        <overlap val="100"/>
        <axId val="355604895"/>
        <axId val="1072641876"/>
      </barChart>
      <catAx>
        <axId val="35560489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2641876"/>
        <lblOffset val="100"/>
      </catAx>
      <valAx>
        <axId val="107264187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5604895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Gara_4!$BA$9:$BF$9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Gara_4!$BJ$9:$BO$9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Gara_4!$BA$12:$BF$12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Gara_4!$BA$13:$BF$13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Gara_4!$BA$14:$BF$14</f>
              <numCache/>
            </numRef>
          </val>
        </ser>
        <gapWidth val="150"/>
        <overlap val="100"/>
        <axId val="1018319420"/>
        <axId val="118554814"/>
      </barChart>
      <catAx>
        <axId val="101831942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8554814"/>
        <lblOffset val="100"/>
      </catAx>
      <valAx>
        <axId val="11855481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1831942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Gara_4!$BJ$12:$BO$12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Gara_4!$BJ$13:$BO$13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Gara_4!$BJ$14:$BO$14</f>
              <numCache/>
            </numRef>
          </val>
        </ser>
        <gapWidth val="150"/>
        <overlap val="100"/>
        <axId val="1476601870"/>
        <axId val="485372873"/>
      </barChart>
      <catAx>
        <axId val="147660187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85372873"/>
        <lblOffset val="100"/>
      </catAx>
      <valAx>
        <axId val="48537287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7660187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Gara_5!$BA$9:$BF$9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Gara_5!$BJ$9:$BO$9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Gara_5!$BA$12:$BF$12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Gara_5!$BA$13:$BF$13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Gara_5!$BA$14:$BF$14</f>
              <numCache/>
            </numRef>
          </val>
        </ser>
        <gapWidth val="150"/>
        <overlap val="100"/>
        <axId val="73723403"/>
        <axId val="1635080108"/>
      </barChart>
      <catAx>
        <axId val="7372340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35080108"/>
        <lblOffset val="100"/>
      </catAx>
      <valAx>
        <axId val="1635080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372340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Gara_5!$BJ$12:$BO$12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Gara_5!$BJ$13:$BO$13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Gara_5!$BJ$14:$BO$14</f>
              <numCache/>
            </numRef>
          </val>
        </ser>
        <gapWidth val="150"/>
        <overlap val="100"/>
        <axId val="881135723"/>
        <axId val="73091715"/>
      </barChart>
      <catAx>
        <axId val="88113572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3091715"/>
        <lblOffset val="100"/>
      </catAx>
      <valAx>
        <axId val="7309171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8113572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Gara_6!$BA$9:$BF$9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Gara_6!$BJ$9:$BO$9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Gara_6!$BA$12:$BF$12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Gara_6!$BA$13:$BF$13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Gara_6!$BA$14:$BF$14</f>
              <numCache/>
            </numRef>
          </val>
        </ser>
        <gapWidth val="150"/>
        <overlap val="100"/>
        <axId val="2091293207"/>
        <axId val="110590753"/>
      </barChart>
      <catAx>
        <axId val="209129320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0590753"/>
        <lblOffset val="100"/>
      </catAx>
      <valAx>
        <axId val="11059075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9129320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Gara_6!$BJ$12:$BO$12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Gara_6!$BJ$13:$BO$13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Gara_6!$BJ$14:$BO$14</f>
              <numCache/>
            </numRef>
          </val>
        </ser>
        <gapWidth val="150"/>
        <overlap val="100"/>
        <axId val="92808509"/>
        <axId val="1090218070"/>
      </barChart>
      <catAx>
        <axId val="9280850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90218070"/>
        <lblOffset val="100"/>
      </catAx>
      <valAx>
        <axId val="109021807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280850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Gara_7!$BA$9:$BF$9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Gara_7!$BJ$9:$BO$9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Gara_7!$BA$12:$BF$12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Gara_7!$BA$13:$BF$13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Gara_7!$BA$14:$BF$14</f>
              <numCache/>
            </numRef>
          </val>
        </ser>
        <gapWidth val="150"/>
        <overlap val="100"/>
        <axId val="660325655"/>
        <axId val="1869863458"/>
      </barChart>
      <catAx>
        <axId val="6603256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69863458"/>
        <lblOffset val="100"/>
      </catAx>
      <valAx>
        <axId val="186986345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60325655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Gara_7!$BJ$12:$BO$12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Gara_7!$BJ$13:$BO$13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Gara_7!$BJ$14:$BO$14</f>
              <numCache/>
            </numRef>
          </val>
        </ser>
        <gapWidth val="150"/>
        <overlap val="100"/>
        <axId val="948865266"/>
        <axId val="1016729189"/>
      </barChart>
      <catAx>
        <axId val="9488652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16729189"/>
        <lblOffset val="100"/>
      </catAx>
      <valAx>
        <axId val="101672918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4886526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Gara_8!$BA$9:$BF$9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Gara_8!$BJ$9:$BO$9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Gara_8!$BA$12:$BF$12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Gara_8!$BA$13:$BF$13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Gara_8!$BA$14:$BF$14</f>
              <numCache/>
            </numRef>
          </val>
        </ser>
        <gapWidth val="150"/>
        <overlap val="100"/>
        <axId val="1508074356"/>
        <axId val="1449207591"/>
      </barChart>
      <catAx>
        <axId val="150807435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49207591"/>
        <lblOffset val="100"/>
      </catAx>
      <valAx>
        <axId val="144920759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0807435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Gara_8!$BJ$12:$BO$12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Gara_8!$BJ$13:$BO$13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Gara_8!$BJ$14:$BO$14</f>
              <numCache/>
            </numRef>
          </val>
        </ser>
        <gapWidth val="150"/>
        <overlap val="100"/>
        <axId val="476669528"/>
        <axId val="297365788"/>
      </barChart>
      <catAx>
        <axId val="47666952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97365788"/>
        <lblOffset val="100"/>
      </catAx>
      <valAx>
        <axId val="29736578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7666952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Gara_9!$BA$9:$BF$9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Gara_9!$BJ$9:$BO$9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Gara_9!$BA$12:$BF$12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Gara_9!$BA$13:$BF$13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Gara_9!$BA$14:$BF$14</f>
              <numCache/>
            </numRef>
          </val>
        </ser>
        <gapWidth val="150"/>
        <overlap val="100"/>
        <axId val="640802521"/>
        <axId val="1078461147"/>
      </barChart>
      <catAx>
        <axId val="64080252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8461147"/>
        <lblOffset val="100"/>
      </catAx>
      <valAx>
        <axId val="107846114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4080252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Gara_9!$BJ$12:$BO$12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Gara_9!$BJ$13:$BO$13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Gara_9!$BJ$14:$BO$14</f>
              <numCache/>
            </numRef>
          </val>
        </ser>
        <gapWidth val="150"/>
        <overlap val="100"/>
        <axId val="645464173"/>
        <axId val="950774884"/>
      </barChart>
      <catAx>
        <axId val="64546417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50774884"/>
        <lblOffset val="100"/>
      </catAx>
      <valAx>
        <axId val="95077488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4546417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Gara_10!$BA$9:$BF$9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Gara_10!$BJ$9:$BO$9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Gara_10!$BA$12:$BF$12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Gara_10!$BA$13:$BF$13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Gara_10!$BA$14:$BF$14</f>
              <numCache/>
            </numRef>
          </val>
        </ser>
        <gapWidth val="150"/>
        <overlap val="100"/>
        <axId val="457089438"/>
        <axId val="1713979269"/>
      </barChart>
      <catAx>
        <axId val="45708943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13979269"/>
        <lblOffset val="100"/>
      </catAx>
      <valAx>
        <axId val="171397926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5708943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Gara_10!$BJ$12:$BO$12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Gara_10!$BJ$13:$BO$13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Gara_10!$BJ$14:$BO$14</f>
              <numCache/>
            </numRef>
          </val>
        </ser>
        <gapWidth val="150"/>
        <overlap val="100"/>
        <axId val="1373742214"/>
        <axId val="75208304"/>
      </barChart>
      <catAx>
        <axId val="137374221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5208304"/>
        <lblOffset val="100"/>
      </catAx>
      <valAx>
        <axId val="7520830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3742214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Gara_11!$BA$9:$BF$9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Gara_11!$BJ$9:$BO$9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Gara_11!$BA$12:$BF$12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Gara_11!$BA$13:$BF$13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Gara_11!$BA$14:$BF$14</f>
              <numCache/>
            </numRef>
          </val>
        </ser>
        <gapWidth val="150"/>
        <overlap val="100"/>
        <axId val="1911318625"/>
        <axId val="2034574890"/>
      </barChart>
      <catAx>
        <axId val="191131862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34574890"/>
        <lblOffset val="100"/>
      </catAx>
      <valAx>
        <axId val="203457489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11318625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Gara_11!$BJ$12:$BO$12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Gara_11!$BJ$13:$BO$13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Gara_11!$BJ$14:$BO$14</f>
              <numCache/>
            </numRef>
          </val>
        </ser>
        <gapWidth val="150"/>
        <overlap val="100"/>
        <axId val="1304053043"/>
        <axId val="357469918"/>
      </barChart>
      <catAx>
        <axId val="13040530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469918"/>
        <lblOffset val="100"/>
      </catAx>
      <valAx>
        <axId val="35746991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0405304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Gara_12!$BA$9:$BF$9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Gara_12!$BJ$9:$BO$9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Gara_12!$BA$12:$BF$12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Gara_12!$BA$13:$BF$13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Gara_12!$BA$14:$BF$14</f>
              <numCache/>
            </numRef>
          </val>
        </ser>
        <gapWidth val="150"/>
        <overlap val="100"/>
        <axId val="982747889"/>
        <axId val="2064443861"/>
      </barChart>
      <catAx>
        <axId val="98274788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64443861"/>
        <lblOffset val="100"/>
      </catAx>
      <valAx>
        <axId val="206444386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8274788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Gara_12!$BJ$12:$BO$12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Gara_12!$BJ$13:$BO$13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Gara_12!$BJ$14:$BO$14</f>
              <numCache/>
            </numRef>
          </val>
        </ser>
        <gapWidth val="150"/>
        <overlap val="100"/>
        <axId val="1854904877"/>
        <axId val="1881398611"/>
      </barChart>
      <catAx>
        <axId val="18549048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81398611"/>
        <lblOffset val="100"/>
      </catAx>
      <valAx>
        <axId val="188139861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549048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Gara_13!$BA$9:$BF$9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Gara_13!$BJ$9:$BO$9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Gara_13!$BA$12:$BF$12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Gara_13!$BA$13:$BF$13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Gara_13!$BA$14:$BF$14</f>
              <numCache/>
            </numRef>
          </val>
        </ser>
        <gapWidth val="150"/>
        <overlap val="100"/>
        <axId val="286911481"/>
        <axId val="1470990459"/>
      </barChart>
      <catAx>
        <axId val="28691148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70990459"/>
        <lblOffset val="100"/>
      </catAx>
      <valAx>
        <axId val="14709904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8691148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r>
              <a:rPr sz="10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Gara_13!$BJ$12:$BO$12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Gara_13!$BJ$13:$BO$13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Gara_13!$BJ$14:$BO$14</f>
              <numCache/>
            </numRef>
          </val>
        </ser>
        <gapWidth val="150"/>
        <overlap val="100"/>
        <axId val="2049842152"/>
        <axId val="1434641274"/>
      </barChart>
      <catAx>
        <axId val="204984215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34641274"/>
        <lblOffset val="100"/>
      </catAx>
      <valAx>
        <axId val="143464127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4984215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Gara_14!$BA$9:$BF$9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Gara_14!$BJ$9:$BO$9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Gara_14!$BA$12:$BF$12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Gara_14!$BA$13:$BF$13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Gara_14!$BA$14:$BF$14</f>
              <numCache/>
            </numRef>
          </val>
        </ser>
        <gapWidth val="150"/>
        <overlap val="100"/>
        <axId val="1266548879"/>
        <axId val="868326317"/>
      </barChart>
      <catAx>
        <axId val="126654887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68326317"/>
        <lblOffset val="100"/>
      </catAx>
      <valAx>
        <axId val="86832631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6654887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Gara_14!$BJ$12:$BO$12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Gara_14!$BJ$13:$BO$13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Gara_14!$BJ$14:$BO$14</f>
              <numCache/>
            </numRef>
          </val>
        </ser>
        <gapWidth val="150"/>
        <overlap val="100"/>
        <axId val="815178121"/>
        <axId val="2129249253"/>
      </barChart>
      <catAx>
        <axId val="81517812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29249253"/>
        <lblOffset val="100"/>
      </catAx>
      <valAx>
        <axId val="212924925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1517812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FATTI)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Gara_15!$BA$9:$BF$9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DISTRIBUZIONE PER FASI
(PUNTI SUBITI)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Gara_15!$BJ$9:$BO$9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BREAK - POINT (PUNTI FATTI)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Gara_15!$BA$12:$BF$12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Gara_15!$BA$13:$BF$13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Gara_15!$BA$14:$BF$14</f>
              <numCache/>
            </numRef>
          </val>
        </ser>
        <gapWidth val="150"/>
        <overlap val="100"/>
        <axId val="1441014063"/>
        <axId val="1906745607"/>
      </barChart>
      <catAx>
        <axId val="144101406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06745607"/>
        <lblOffset val="100"/>
      </catAx>
      <valAx>
        <axId val="190674560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4101406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EFFICACIA RICEZIONE - PUNTO (PUNTI SUBITI)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Gara_15!$BJ$12:$BO$12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Gara_15!$BJ$13:$BO$13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Gara_15!$BJ$14:$BO$14</f>
              <numCache/>
            </numRef>
          </val>
        </ser>
        <gapWidth val="150"/>
        <overlap val="100"/>
        <axId val="436140274"/>
        <axId val="999567798"/>
      </barChart>
      <catAx>
        <axId val="43614027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ROTAZIONI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99567798"/>
        <lblOffset val="100"/>
      </catAx>
      <valAx>
        <axId val="99956779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36140274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 xml:space="preserve">CRONOLOGIA
</a:t>
            </a:r>
          </a:p>
        </rich>
      </tx>
      <overlay val="0"/>
    </title>
    <plotArea>
      <layout/>
      <lineChart>
        <grouping val="standard"/>
        <axId val="600587089"/>
        <axId val="2131781006"/>
      </lineChart>
      <catAx>
        <axId val="60058708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PARTITE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31781006"/>
        <lblOffset val="100"/>
      </catAx>
      <valAx>
        <axId val="2131781006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60058708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DISTRIBUZIONE PER FASI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Totali!$B$8:$G$8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EFFICACIA BREAK - POINT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Totali!$B$11:$G$11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Totali!$B$12:$G$12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Totali!$B$13:$G$13</f>
              <numCache/>
            </numRef>
          </val>
        </ser>
        <gapWidth val="150"/>
        <overlap val="100"/>
        <axId val="1856133733"/>
        <axId val="1210515448"/>
      </barChart>
      <catAx>
        <axId val="185613373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FASI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10515448"/>
        <lblOffset val="100"/>
      </catAx>
      <valAx>
        <axId val="121051544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5613373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ATTACCO A DUE - TRE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Totali!$H$6:$I$6</f>
            </strRef>
          </cat>
          <val>
            <numRef>
              <f>Totali!$H$8:$I$8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 xml:space="preserve">CRONOLOGIA
</a:t>
            </a:r>
          </a:p>
        </rich>
      </tx>
      <overlay val="0"/>
    </title>
    <plotArea>
      <layout/>
      <lineChart>
        <grouping val="standard"/>
        <axId val="63587123"/>
        <axId val="1846837139"/>
      </lineChart>
      <catAx>
        <axId val="6358712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PARTITE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46837139"/>
        <lblOffset val="100"/>
      </catAx>
      <valAx>
        <axId val="1846837139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6358712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DISTRIBUZIONE PER FASI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Totali!$Q$8:$V$8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ATTACCO A DUE - TRE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Totali!$W$6:$X$6</f>
            </strRef>
          </cat>
          <val>
            <numRef>
              <f>Totali!$W$8:$X$8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EFFICACIA RICEZIONE - PUNTO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Totali!$Q$11:$V$11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Totali!$Q$12:$V$12</f>
              <numCache/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Totali!$Q$13:$V$13</f>
              <numCache/>
            </numRef>
          </val>
        </ser>
        <gapWidth val="150"/>
        <overlap val="100"/>
        <axId val="52239180"/>
        <axId val="1700313326"/>
      </barChart>
      <catAx>
        <axId val="5223918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FASI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00313326"/>
        <lblOffset val="100"/>
      </catAx>
      <valAx>
        <axId val="170031332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+mn-lt"/>
                  </a:rPr>
                  <a:t>PERCENTUALI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223918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chart" Target="/xl/charts/chart20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/><Relationship Type="http://schemas.openxmlformats.org/officeDocument/2006/relationships/chart" Target="/xl/charts/chart46.xml" Id="rId2"/><Relationship Type="http://schemas.openxmlformats.org/officeDocument/2006/relationships/chart" Target="/xl/charts/chart47.xml" Id="rId3"/><Relationship Type="http://schemas.openxmlformats.org/officeDocument/2006/relationships/chart" Target="/xl/charts/chart48.xml" Id="rId4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/><Relationship Type="http://schemas.openxmlformats.org/officeDocument/2006/relationships/chart" Target="/xl/charts/chart50.xml" Id="rId2"/><Relationship Type="http://schemas.openxmlformats.org/officeDocument/2006/relationships/chart" Target="/xl/charts/chart51.xml" Id="rId3"/><Relationship Type="http://schemas.openxmlformats.org/officeDocument/2006/relationships/chart" Target="/xl/charts/chart52.xml" Id="rId4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Relationship Type="http://schemas.openxmlformats.org/officeDocument/2006/relationships/chart" Target="/xl/charts/chart55.xml" Id="rId3"/><Relationship Type="http://schemas.openxmlformats.org/officeDocument/2006/relationships/chart" Target="/xl/charts/chart56.xml" Id="rId4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/><Relationship Type="http://schemas.openxmlformats.org/officeDocument/2006/relationships/chart" Target="/xl/charts/chart62.xml" Id="rId2"/><Relationship Type="http://schemas.openxmlformats.org/officeDocument/2006/relationships/chart" Target="/xl/charts/chart63.xml" Id="rId3"/><Relationship Type="http://schemas.openxmlformats.org/officeDocument/2006/relationships/chart" Target="/xl/charts/chart64.xml" Id="rId4"/><Relationship Type="http://schemas.openxmlformats.org/officeDocument/2006/relationships/chart" Target="/xl/charts/chart65.xml" Id="rId5"/><Relationship Type="http://schemas.openxmlformats.org/officeDocument/2006/relationships/chart" Target="/xl/charts/chart66.xml" Id="rId6"/><Relationship Type="http://schemas.openxmlformats.org/officeDocument/2006/relationships/chart" Target="/xl/charts/chart67.xml" Id="rId7"/><Relationship Type="http://schemas.openxmlformats.org/officeDocument/2006/relationships/chart" Target="/xl/charts/chart68.xml" Id="rId8"/></Relationships>
</file>

<file path=xl/drawings/drawing1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05150" cy="28003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51</col>
      <colOff>57150</colOff>
      <row>15</row>
      <rowOff>0</rowOff>
    </from>
    <ext cx="3228975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095625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095625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372225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362700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51</col>
      <colOff>85725</colOff>
      <row>15</row>
      <rowOff>0</rowOff>
    </from>
    <ext cx="3209925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7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33725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8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9.xml><?xml version="1.0" encoding="utf-8"?>
<wsDr xmlns="http://schemas.openxmlformats.org/drawingml/2006/spreadsheetDrawing">
  <oneCellAnchor>
    <from>
      <col>51</col>
      <colOff>85725</colOff>
      <row>15</row>
      <rowOff>0</rowOff>
    </from>
    <ext cx="3209925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10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11.xml><?xml version="1.0" encoding="utf-8"?>
<wsDr xmlns="http://schemas.openxmlformats.org/drawingml/2006/spreadsheetDrawing">
  <oneCellAnchor>
    <from>
      <col>51</col>
      <colOff>85725</colOff>
      <row>15</row>
      <rowOff>0</rowOff>
    </from>
    <ext cx="3209925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12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13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124200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41985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10325" cy="1866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14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095625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362700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362700" cy="183832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15.xml><?xml version="1.0" encoding="utf-8"?>
<wsDr xmlns="http://schemas.openxmlformats.org/drawingml/2006/spreadsheetDrawing">
  <oneCellAnchor>
    <from>
      <col>51</col>
      <colOff>66675</colOff>
      <row>15</row>
      <rowOff>0</rowOff>
    </from>
    <ext cx="321945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59</col>
      <colOff>66675</colOff>
      <row>15</row>
      <rowOff>0</rowOff>
    </from>
    <ext cx="3095625" cy="2819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51</col>
      <colOff>66675</colOff>
      <row>36</row>
      <rowOff>66675</rowOff>
    </from>
    <ext cx="6372225" cy="2000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51</col>
      <colOff>66675</colOff>
      <row>51</row>
      <rowOff>95250</rowOff>
    </from>
    <ext cx="6400800" cy="183832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16.xml><?xml version="1.0" encoding="utf-8"?>
<wsDr xmlns="http://schemas.openxmlformats.org/drawingml/2006/spreadsheetDrawing">
  <oneCellAnchor>
    <from>
      <col>0</col>
      <colOff>66675</colOff>
      <row>15</row>
      <rowOff>9525</rowOff>
    </from>
    <ext cx="6953250" cy="2762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85725</colOff>
      <row>32</row>
      <rowOff>152400</rowOff>
    </from>
    <ext cx="3371850" cy="24288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104775</colOff>
      <row>48</row>
      <rowOff>66675</rowOff>
    </from>
    <ext cx="6924675" cy="242887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7</col>
      <colOff>257175</colOff>
      <row>33</row>
      <rowOff>9525</rowOff>
    </from>
    <ext cx="3457575" cy="24003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15</col>
      <colOff>104775</colOff>
      <row>15</row>
      <rowOff>28575</rowOff>
    </from>
    <ext cx="6943725" cy="2733675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15</col>
      <colOff>85725</colOff>
      <row>32</row>
      <rowOff>152400</rowOff>
    </from>
    <ext cx="3457575" cy="2428875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fLocksWithSheet="0"/>
  </oneCellAnchor>
  <oneCellAnchor>
    <from>
      <col>22</col>
      <colOff>323850</colOff>
      <row>33</row>
      <rowOff>0</rowOff>
    </from>
    <ext cx="3371850" cy="241935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fLocksWithSheet="0"/>
  </oneCellAnchor>
  <oneCellAnchor>
    <from>
      <col>15</col>
      <colOff>104775</colOff>
      <row>48</row>
      <rowOff>114300</rowOff>
    </from>
    <ext cx="6905625" cy="2390775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9">
        <f>AA15+AA27+AA39+AA51+AA63</f>
        <v/>
      </c>
      <c r="BC6" s="14" t="n"/>
      <c r="BD6" s="1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9">
        <f>AP15+AP27+AP39+AP51+AP63</f>
        <v/>
      </c>
      <c r="BL6" s="14" t="n"/>
      <c r="BM6" s="1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9">
        <f>IF(L9="","",IF(UPPER(L9)="X","",L9))</f>
        <v/>
      </c>
      <c r="AK9" s="50">
        <f>IF(M9="","",IF(UPPER(L9)="X",M9-1,M9-L9-1))</f>
        <v/>
      </c>
      <c r="AL9" s="51">
        <f>IF(N9="","",N9-M9-1)</f>
        <v/>
      </c>
      <c r="AM9" s="51">
        <f>IF(O9="","",O9-N9-1)</f>
        <v/>
      </c>
      <c r="AN9" s="51">
        <f>IF(P9="","",P9-O9-1)</f>
        <v/>
      </c>
      <c r="AO9" s="51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1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1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1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1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49">
        <f>IF(L14="","",L14-Q13-1)</f>
        <v/>
      </c>
      <c r="AK14" s="51">
        <f>IF(M14="","",M14-L14-1)</f>
        <v/>
      </c>
      <c r="AL14" s="51">
        <f>IF(N14="","",N14-M14-1)</f>
        <v/>
      </c>
      <c r="AM14" s="51">
        <f>IF(O14="","",O14-N14-1)</f>
        <v/>
      </c>
      <c r="AN14" s="51">
        <f>IF(P14="","",P14-O14-1)</f>
        <v/>
      </c>
      <c r="AO14" s="51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9">
        <f>IF(D21="","",IF(UPPER(D21)="X","",D21))</f>
        <v/>
      </c>
      <c r="V21" s="50">
        <f>IF(E21="","",IF(UPPER(D21)="X",E21-1,E21-D21-1))</f>
        <v/>
      </c>
      <c r="W21" s="51">
        <f>IF(F21="","",F21-E21-1)</f>
        <v/>
      </c>
      <c r="X21" s="51">
        <f>IF(G21="","",G21-F21-1)</f>
        <v/>
      </c>
      <c r="Y21" s="51">
        <f>IF(H21="","",H21-G21-1)</f>
        <v/>
      </c>
      <c r="Z21" s="54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9">
        <f>IF(L21="","",IF(UPPER(L21)="X","",L21))</f>
        <v/>
      </c>
      <c r="AK21" s="50">
        <f>IF(M21="","",IF(UPPER(L21)="X",M21-1,M21-L21-1))</f>
        <v/>
      </c>
      <c r="AL21" s="51">
        <f>IF(N21="","",N21-M21-1)</f>
        <v/>
      </c>
      <c r="AM21" s="51">
        <f>IF(O21="","",O21-N21-1)</f>
        <v/>
      </c>
      <c r="AN21" s="51">
        <f>IF(P21="","",P21-O21-1)</f>
        <v/>
      </c>
      <c r="AO21" s="51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1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1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1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1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49">
        <f>IF(L26="","",L26-Q25-1)</f>
        <v/>
      </c>
      <c r="AK26" s="51">
        <f>IF(M26="","",M26-L26-1)</f>
        <v/>
      </c>
      <c r="AL26" s="51">
        <f>IF(N26="","",N26-M26-1)</f>
        <v/>
      </c>
      <c r="AM26" s="51">
        <f>IF(O26="","",O26-N26-1)</f>
        <v/>
      </c>
      <c r="AN26" s="51">
        <f>IF(P26="","",P26-O26-1)</f>
        <v/>
      </c>
      <c r="AO26" s="51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9">
        <f>IF(D33="","",IF(UPPER(D33)="X","",D33))</f>
        <v/>
      </c>
      <c r="V33" s="50">
        <f>IF(E33="","",IF(UPPER(D33)="X",E33-1,E33-D33-1))</f>
        <v/>
      </c>
      <c r="W33" s="51">
        <f>IF(F33="","",F33-E33-1)</f>
        <v/>
      </c>
      <c r="X33" s="51">
        <f>IF(G33="","",G33-F33-1)</f>
        <v/>
      </c>
      <c r="Y33" s="51">
        <f>IF(H33="","",H33-G33-1)</f>
        <v/>
      </c>
      <c r="Z33" s="54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9">
        <f>IF(L33="","",IF(UPPER(L33)="X","",L33))</f>
        <v/>
      </c>
      <c r="AK33" s="50">
        <f>IF(M33="","",IF(UPPER(L33)="X",M33-1,M33-L33-1))</f>
        <v/>
      </c>
      <c r="AL33" s="51">
        <f>IF(N33="","",N33-M33-1)</f>
        <v/>
      </c>
      <c r="AM33" s="51">
        <f>IF(O33="","",O33-N33-1)</f>
        <v/>
      </c>
      <c r="AN33" s="51">
        <f>IF(P33="","",P33-O33-1)</f>
        <v/>
      </c>
      <c r="AO33" s="51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1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1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1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1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49">
        <f>IF(L38="","",L38-Q37-1)</f>
        <v/>
      </c>
      <c r="AK38" s="51">
        <f>IF(M38="","",M38-L38-1)</f>
        <v/>
      </c>
      <c r="AL38" s="51">
        <f>IF(N38="","",N38-M38-1)</f>
        <v/>
      </c>
      <c r="AM38" s="51">
        <f>IF(O38="","",O38-N38-1)</f>
        <v/>
      </c>
      <c r="AN38" s="51">
        <f>IF(P38="","",P38-O38-1)</f>
        <v/>
      </c>
      <c r="AO38" s="51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9">
        <f>IF(D45="","",IF(UPPER(D45)="X","",D45))</f>
        <v/>
      </c>
      <c r="V45" s="50">
        <f>IF(E45="","",IF(UPPER(D45)="X",E45-1,E45-D45-1))</f>
        <v/>
      </c>
      <c r="W45" s="51">
        <f>IF(F45="","",F45-E45-1)</f>
        <v/>
      </c>
      <c r="X45" s="51">
        <f>IF(G45="","",G45-F45-1)</f>
        <v/>
      </c>
      <c r="Y45" s="51">
        <f>IF(H45="","",H45-G45-1)</f>
        <v/>
      </c>
      <c r="Z45" s="54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9">
        <f>IF(L45="","",IF(UPPER(L45)="X","",L45))</f>
        <v/>
      </c>
      <c r="AK45" s="50">
        <f>IF(M45="","",IF(UPPER(L45)="X",M45-1,M45-L45-1))</f>
        <v/>
      </c>
      <c r="AL45" s="51">
        <f>IF(N45="","",N45-M45-1)</f>
        <v/>
      </c>
      <c r="AM45" s="51">
        <f>IF(O45="","",O45-N45-1)</f>
        <v/>
      </c>
      <c r="AN45" s="51">
        <f>IF(P45="","",P45-O45-1)</f>
        <v/>
      </c>
      <c r="AO45" s="51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1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1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1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1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49">
        <f>IF(L50="","",L50-Q49-1)</f>
        <v/>
      </c>
      <c r="AK50" s="51">
        <f>IF(M50="","",M50-L50-1)</f>
        <v/>
      </c>
      <c r="AL50" s="51">
        <f>IF(N50="","",N50-M50-1)</f>
        <v/>
      </c>
      <c r="AM50" s="51">
        <f>IF(O50="","",O50-N50-1)</f>
        <v/>
      </c>
      <c r="AN50" s="51">
        <f>IF(P50="","",P50-O50-1)</f>
        <v/>
      </c>
      <c r="AO50" s="51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9">
        <f>IF(D57="","",IF(UPPER(D57)="X","",D57))</f>
        <v/>
      </c>
      <c r="V57" s="50">
        <f>IF(E57="","",IF(UPPER(D57)="X",E57-1,E57-D57-1))</f>
        <v/>
      </c>
      <c r="W57" s="51">
        <f>IF(F57="","",F57-E57-1)</f>
        <v/>
      </c>
      <c r="X57" s="51">
        <f>IF(G57="","",G57-F57-1)</f>
        <v/>
      </c>
      <c r="Y57" s="51">
        <f>IF(H57="","",H57-G57-1)</f>
        <v/>
      </c>
      <c r="Z57" s="54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6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1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1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1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1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49">
        <f>IF(L62="","",L62-Q61-1)</f>
        <v/>
      </c>
      <c r="AK62" s="51">
        <f>IF(M62="","",M62-L62-1)</f>
        <v/>
      </c>
      <c r="AL62" s="51">
        <f>IF(N62="","",N62-M62-1)</f>
        <v/>
      </c>
      <c r="AM62" s="51">
        <f>IF(O62="","",O62-N62-1)</f>
        <v/>
      </c>
      <c r="AN62" s="51">
        <f>IF(P62="","",P62-O62-1)</f>
        <v/>
      </c>
      <c r="AO62" s="51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2.7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2.7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2.7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2.7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2.7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2.7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2.7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2.7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2.7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2.7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2.7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2.7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2.7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2.7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2.7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2.7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2.7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2.7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92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92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92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</row>
    <row r="105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</row>
    <row r="117" ht="12.75" customHeight="1" s="1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</row>
    <row r="118" ht="12.75" customHeight="1" s="1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</row>
    <row r="119" ht="12.75" customHeight="1" s="1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</row>
    <row r="120" ht="12.75" customHeight="1" s="1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</row>
    <row r="121" ht="12.75" customHeight="1" s="1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</row>
    <row r="122" ht="12.75" customHeight="1" s="1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</row>
    <row r="123" ht="12.75" customHeight="1" s="1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</row>
    <row r="124" ht="12.75" customHeight="1" s="1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</row>
    <row r="125" ht="12.75" customHeight="1" s="1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</row>
    <row r="126" ht="12.75" customHeight="1" s="1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</row>
    <row r="127" ht="12.75" customHeight="1" s="1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</row>
    <row r="128" ht="12.75" customHeight="1" s="1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</row>
    <row r="129" ht="12.75" customHeight="1" s="1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</row>
    <row r="130" ht="12.75" customHeight="1" s="1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</row>
    <row r="131" ht="12.75" customHeight="1" s="1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</row>
    <row r="132" ht="12.75" customHeight="1" s="1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</row>
    <row r="133" ht="12.75" customHeight="1" s="1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</row>
    <row r="134" ht="12.75" customHeight="1" s="1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</row>
    <row r="135" ht="12.75" customHeight="1" s="1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</row>
    <row r="136" ht="12.75" customHeight="1" s="11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</row>
    <row r="137" ht="12.75" customHeight="1" s="11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</row>
    <row r="138" ht="12.75" customHeight="1" s="11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</row>
    <row r="139" ht="12.75" customHeight="1" s="11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</row>
    <row r="140" ht="12.75" customHeight="1" s="11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</row>
    <row r="141" ht="12.75" customHeight="1" s="11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</row>
    <row r="142" ht="12.75" customHeight="1" s="11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</row>
    <row r="143" ht="12.75" customHeight="1" s="11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</row>
    <row r="144" ht="12.75" customHeight="1" s="11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</row>
    <row r="145" ht="12.75" customHeight="1" s="11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</row>
    <row r="146" ht="12.75" customHeight="1" s="11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</row>
    <row r="147" ht="12.75" customHeight="1" s="11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</row>
    <row r="148" ht="12.75" customHeight="1" s="11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</row>
    <row r="149" ht="12.75" customHeight="1" s="11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</row>
    <row r="150" ht="12.75" customHeight="1" s="11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</row>
    <row r="151" ht="12.75" customHeight="1" s="11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</row>
    <row r="152" ht="12.75" customHeight="1" s="11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</row>
    <row r="153" ht="12.75" customHeight="1" s="11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</row>
    <row r="154" ht="12.75" customHeight="1" s="11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</row>
    <row r="155" ht="12.75" customHeight="1" s="11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</row>
    <row r="156" ht="12.75" customHeight="1" s="11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</row>
    <row r="157" ht="12.75" customHeight="1" s="11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</row>
    <row r="158" ht="12.75" customHeight="1" s="11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</row>
    <row r="159" ht="12.75" customHeight="1" s="11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</row>
    <row r="160" ht="12.75" customHeight="1" s="11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</row>
    <row r="161" ht="12.75" customHeight="1" s="11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</row>
    <row r="162" ht="12.75" customHeight="1" s="11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</row>
    <row r="163" ht="12.75" customHeight="1" s="11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</row>
    <row r="164" ht="12.75" customHeight="1" s="11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</row>
    <row r="165" ht="12.75" customHeight="1" s="11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</row>
    <row r="166" ht="12.75" customHeight="1" s="11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</row>
    <row r="167" ht="12.75" customHeight="1" s="11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</row>
    <row r="168" ht="12.75" customHeight="1" s="11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</row>
    <row r="169" ht="12.75" customHeight="1" s="11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</row>
    <row r="170" ht="12.75" customHeight="1" s="11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</row>
    <row r="171" ht="12.75" customHeight="1" s="11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</row>
    <row r="172" ht="12.75" customHeight="1" s="11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</row>
    <row r="173" ht="12.75" customHeight="1" s="11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</row>
    <row r="174" ht="12.75" customHeight="1" s="11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</row>
    <row r="175" ht="12.75" customHeight="1" s="11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</row>
    <row r="176" ht="12.75" customHeight="1" s="11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</row>
    <row r="177" ht="12.75" customHeight="1" s="11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</row>
    <row r="178" ht="12.75" customHeight="1" s="11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</row>
    <row r="179" ht="12.75" customHeight="1" s="11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</row>
    <row r="180" ht="12.75" customHeight="1" s="11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</row>
    <row r="181" ht="12.75" customHeight="1" s="11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</row>
    <row r="182" ht="12.75" customHeight="1" s="11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</row>
    <row r="183" ht="12.75" customHeight="1" s="11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</row>
    <row r="184" ht="12.75" customHeight="1" s="11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</row>
    <row r="185" ht="12.75" customHeight="1" s="11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</row>
    <row r="186" ht="12.75" customHeight="1" s="11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</row>
    <row r="187" ht="12.75" customHeight="1" s="11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</row>
    <row r="188" ht="12.75" customHeight="1" s="11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</row>
    <row r="189" ht="12.75" customHeight="1" s="11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</row>
    <row r="190" ht="12.75" customHeight="1" s="11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</row>
    <row r="191" ht="12.75" customHeight="1" s="11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</row>
    <row r="192" ht="12.75" customHeight="1" s="11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</row>
    <row r="193" ht="12.75" customHeight="1" s="11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</row>
    <row r="194" ht="12.75" customHeight="1" s="11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</row>
    <row r="195" ht="12.75" customHeight="1" s="11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</row>
    <row r="196" ht="12.75" customHeight="1" s="11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</row>
    <row r="197" ht="12.75" customHeight="1" s="11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</row>
    <row r="198" ht="12.75" customHeight="1" s="11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</row>
    <row r="199" ht="12.75" customHeight="1" s="11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</row>
    <row r="200" ht="12.75" customHeight="1" s="11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</row>
    <row r="201" ht="12.75" customHeight="1" s="11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</row>
    <row r="202" ht="12.75" customHeight="1" s="11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</row>
    <row r="203" ht="12.75" customHeight="1" s="11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</row>
    <row r="204" ht="12.75" customHeight="1" s="11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</row>
    <row r="205" ht="12.75" customHeight="1" s="11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</row>
    <row r="206" ht="12.75" customHeight="1" s="11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</row>
    <row r="207" ht="12.75" customHeight="1" s="11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</row>
    <row r="208" ht="12.75" customHeight="1" s="11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</row>
    <row r="209" ht="12.75" customHeight="1" s="11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</row>
    <row r="210" ht="12.75" customHeight="1" s="11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</row>
    <row r="211" ht="12.75" customHeight="1" s="1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</row>
    <row r="212" ht="12.75" customHeight="1" s="11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</row>
    <row r="213" ht="12.75" customHeight="1" s="11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</row>
    <row r="214" ht="12.75" customHeight="1" s="11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</row>
    <row r="215" ht="12.75" customHeight="1" s="11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</row>
    <row r="216" ht="12.75" customHeight="1" s="11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</row>
    <row r="217" ht="12.75" customHeight="1" s="11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</row>
    <row r="218" ht="12.75" customHeight="1" s="11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</row>
    <row r="219" ht="12.75" customHeight="1" s="11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</row>
    <row r="220" ht="12.75" customHeight="1" s="11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</row>
    <row r="221" ht="12.75" customHeight="1" s="11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</row>
    <row r="222" ht="12.75" customHeight="1" s="11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</row>
    <row r="223" ht="12.75" customHeight="1" s="11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</row>
    <row r="224" ht="12.75" customHeight="1" s="11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</row>
    <row r="225" ht="12.75" customHeight="1" s="11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</row>
    <row r="226" ht="12.75" customHeight="1" s="11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</row>
    <row r="227" ht="12.75" customHeight="1" s="11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</row>
    <row r="228" ht="12.75" customHeight="1" s="11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</row>
    <row r="229" ht="12.75" customHeight="1" s="11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</row>
    <row r="230" ht="12.75" customHeight="1" s="11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</row>
    <row r="231" ht="12.75" customHeight="1" s="11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</row>
    <row r="232" ht="12.75" customHeight="1" s="11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</row>
    <row r="233" ht="12.75" customHeight="1" s="11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</row>
    <row r="234" ht="12.75" customHeight="1" s="11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</row>
    <row r="235" ht="12.75" customHeight="1" s="11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</row>
    <row r="236" ht="12.75" customHeight="1" s="11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</row>
    <row r="237" ht="12.75" customHeight="1" s="11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</row>
    <row r="238" ht="12.75" customHeight="1" s="11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</row>
    <row r="239" ht="12.75" customHeight="1" s="11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</row>
    <row r="240" ht="12.75" customHeight="1" s="11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</row>
    <row r="241" ht="12.75" customHeight="1" s="11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</row>
    <row r="242" ht="12.75" customHeight="1" s="11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</row>
    <row r="243" ht="12.75" customHeight="1" s="11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</row>
    <row r="244" ht="12.75" customHeight="1" s="11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</row>
    <row r="245" ht="12.75" customHeight="1" s="11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</row>
    <row r="246" ht="12.75" customHeight="1" s="11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</row>
    <row r="247" ht="12.75" customHeight="1" s="11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</row>
    <row r="248" ht="12.75" customHeight="1" s="11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</row>
    <row r="249" ht="12.75" customHeight="1" s="11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</row>
    <row r="250" ht="12.75" customHeight="1" s="11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</row>
    <row r="251" ht="12.75" customHeight="1" s="11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</row>
    <row r="252" ht="12.75" customHeight="1" s="11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</row>
    <row r="253" ht="12.75" customHeight="1" s="11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</row>
    <row r="254" ht="12.75" customHeight="1" s="11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</row>
    <row r="255" ht="12.75" customHeight="1" s="11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</row>
    <row r="256" ht="12.75" customHeight="1" s="11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</row>
    <row r="257" ht="12.75" customHeight="1" s="11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</row>
    <row r="258" ht="12.75" customHeight="1" s="11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</row>
    <row r="259" ht="12.75" customHeight="1" s="11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</row>
    <row r="260" ht="12.75" customHeight="1" s="11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</row>
    <row r="261" ht="12.75" customHeight="1" s="11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</row>
    <row r="262" ht="12.75" customHeight="1" s="11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</row>
    <row r="263" ht="12.75" customHeight="1" s="11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</row>
    <row r="264" ht="12.75" customHeight="1" s="11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</row>
    <row r="265" ht="12.75" customHeight="1" s="11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</row>
    <row r="266" ht="12.75" customHeight="1" s="11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</row>
    <row r="267" ht="12.75" customHeight="1" s="11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</row>
    <row r="268" ht="12.75" customHeight="1" s="11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</row>
    <row r="269" ht="12.75" customHeight="1" s="11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</row>
    <row r="270" ht="12.75" customHeight="1" s="11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</row>
    <row r="271" ht="12.75" customHeight="1" s="11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</row>
    <row r="272" ht="12.75" customHeight="1" s="11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</row>
    <row r="273" ht="12.75" customHeight="1" s="11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</row>
    <row r="274" ht="12.75" customHeight="1" s="11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</row>
    <row r="275" ht="12.75" customHeight="1" s="11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</row>
    <row r="276" ht="12.75" customHeight="1" s="11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</row>
    <row r="277" ht="12.75" customHeight="1" s="11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</row>
    <row r="278" ht="12.75" customHeight="1" s="11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</row>
    <row r="279" ht="12.75" customHeight="1" s="11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</row>
    <row r="280" ht="12.75" customHeight="1" s="11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</row>
    <row r="281" ht="12.75" customHeight="1" s="11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</row>
    <row r="282" ht="12.75" customHeight="1" s="11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</row>
    <row r="283" ht="12.75" customHeight="1" s="11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</row>
    <row r="284" ht="12.75" customHeight="1" s="11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</row>
    <row r="285" ht="12.75" customHeight="1" s="111">
      <c r="A285" s="93" t="n"/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93" t="n"/>
      <c r="K285" s="93" t="n"/>
      <c r="L285" s="93" t="n"/>
      <c r="M285" s="93" t="n"/>
      <c r="N285" s="93" t="n"/>
      <c r="O285" s="93" t="n"/>
      <c r="P285" s="93" t="n"/>
      <c r="Q285" s="93" t="n"/>
      <c r="R285" s="93" t="n"/>
      <c r="S285" s="93" t="n"/>
      <c r="T285" s="93" t="n"/>
    </row>
    <row r="286" ht="12.75" customHeight="1" s="111">
      <c r="A286" s="93" t="n"/>
      <c r="B286" s="93" t="n"/>
      <c r="C286" s="93" t="n"/>
      <c r="D286" s="93" t="n"/>
      <c r="E286" s="93" t="n"/>
      <c r="F286" s="93" t="n"/>
      <c r="G286" s="93" t="n"/>
      <c r="H286" s="93" t="n"/>
      <c r="I286" s="93" t="n"/>
      <c r="J286" s="93" t="n"/>
      <c r="K286" s="93" t="n"/>
      <c r="L286" s="93" t="n"/>
      <c r="M286" s="93" t="n"/>
      <c r="N286" s="93" t="n"/>
      <c r="O286" s="93" t="n"/>
      <c r="P286" s="93" t="n"/>
      <c r="Q286" s="93" t="n"/>
      <c r="R286" s="93" t="n"/>
      <c r="S286" s="93" t="n"/>
      <c r="T286" s="93" t="n"/>
    </row>
    <row r="287" ht="12.75" customHeight="1" s="111">
      <c r="A287" s="93" t="n"/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93" t="n"/>
      <c r="K287" s="93" t="n"/>
      <c r="L287" s="93" t="n"/>
      <c r="M287" s="93" t="n"/>
      <c r="N287" s="93" t="n"/>
      <c r="O287" s="93" t="n"/>
      <c r="P287" s="93" t="n"/>
      <c r="Q287" s="93" t="n"/>
      <c r="R287" s="93" t="n"/>
      <c r="S287" s="93" t="n"/>
      <c r="T287" s="93" t="n"/>
    </row>
    <row r="288" ht="12.75" customHeight="1" s="111">
      <c r="A288" s="93" t="n"/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93" t="n"/>
      <c r="K288" s="93" t="n"/>
      <c r="L288" s="93" t="n"/>
      <c r="M288" s="93" t="n"/>
      <c r="N288" s="93" t="n"/>
      <c r="O288" s="93" t="n"/>
      <c r="P288" s="93" t="n"/>
      <c r="Q288" s="93" t="n"/>
      <c r="R288" s="93" t="n"/>
      <c r="S288" s="93" t="n"/>
      <c r="T288" s="93" t="n"/>
    </row>
    <row r="289" ht="12.75" customHeight="1" s="111">
      <c r="A289" s="93" t="n"/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93" t="n"/>
      <c r="K289" s="93" t="n"/>
      <c r="L289" s="93" t="n"/>
      <c r="M289" s="93" t="n"/>
      <c r="N289" s="93" t="n"/>
      <c r="O289" s="93" t="n"/>
      <c r="P289" s="93" t="n"/>
      <c r="Q289" s="93" t="n"/>
      <c r="R289" s="93" t="n"/>
      <c r="S289" s="93" t="n"/>
      <c r="T289" s="93" t="n"/>
    </row>
    <row r="290" ht="12.75" customHeight="1" s="111">
      <c r="A290" s="93" t="n"/>
      <c r="B290" s="93" t="n"/>
      <c r="C290" s="93" t="n"/>
      <c r="D290" s="93" t="n"/>
      <c r="E290" s="93" t="n"/>
      <c r="F290" s="93" t="n"/>
      <c r="G290" s="93" t="n"/>
      <c r="H290" s="93" t="n"/>
      <c r="I290" s="93" t="n"/>
      <c r="J290" s="93" t="n"/>
      <c r="K290" s="93" t="n"/>
      <c r="L290" s="93" t="n"/>
      <c r="M290" s="93" t="n"/>
      <c r="N290" s="93" t="n"/>
      <c r="O290" s="93" t="n"/>
      <c r="P290" s="93" t="n"/>
      <c r="Q290" s="93" t="n"/>
      <c r="R290" s="93" t="n"/>
      <c r="S290" s="93" t="n"/>
      <c r="T290" s="93" t="n"/>
    </row>
    <row r="291" ht="12.75" customHeight="1" s="111">
      <c r="A291" s="93" t="n"/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93" t="n"/>
      <c r="K291" s="93" t="n"/>
      <c r="L291" s="93" t="n"/>
      <c r="M291" s="93" t="n"/>
      <c r="N291" s="93" t="n"/>
      <c r="O291" s="93" t="n"/>
      <c r="P291" s="93" t="n"/>
      <c r="Q291" s="93" t="n"/>
      <c r="R291" s="93" t="n"/>
      <c r="S291" s="93" t="n"/>
      <c r="T291" s="93" t="n"/>
    </row>
    <row r="292" ht="12.75" customHeight="1" s="111">
      <c r="A292" s="93" t="n"/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93" t="n"/>
      <c r="K292" s="93" t="n"/>
      <c r="L292" s="93" t="n"/>
      <c r="M292" s="93" t="n"/>
      <c r="N292" s="93" t="n"/>
      <c r="O292" s="93" t="n"/>
      <c r="P292" s="93" t="n"/>
      <c r="Q292" s="93" t="n"/>
      <c r="R292" s="93" t="n"/>
      <c r="S292" s="93" t="n"/>
      <c r="T292" s="93" t="n"/>
    </row>
    <row r="293" ht="12.75" customHeight="1" s="111">
      <c r="A293" s="93" t="n"/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93" t="n"/>
      <c r="K293" s="93" t="n"/>
      <c r="L293" s="93" t="n"/>
      <c r="M293" s="93" t="n"/>
      <c r="N293" s="93" t="n"/>
      <c r="O293" s="93" t="n"/>
      <c r="P293" s="93" t="n"/>
      <c r="Q293" s="93" t="n"/>
      <c r="R293" s="93" t="n"/>
      <c r="S293" s="93" t="n"/>
      <c r="T293" s="93" t="n"/>
    </row>
    <row r="294" ht="12.75" customHeight="1" s="111">
      <c r="A294" s="93" t="n"/>
      <c r="B294" s="93" t="n"/>
      <c r="C294" s="93" t="n"/>
      <c r="D294" s="93" t="n"/>
      <c r="E294" s="93" t="n"/>
      <c r="F294" s="93" t="n"/>
      <c r="G294" s="93" t="n"/>
      <c r="H294" s="93" t="n"/>
      <c r="I294" s="93" t="n"/>
      <c r="J294" s="93" t="n"/>
      <c r="K294" s="93" t="n"/>
      <c r="L294" s="93" t="n"/>
      <c r="M294" s="93" t="n"/>
      <c r="N294" s="93" t="n"/>
      <c r="O294" s="93" t="n"/>
      <c r="P294" s="93" t="n"/>
      <c r="Q294" s="93" t="n"/>
      <c r="R294" s="93" t="n"/>
      <c r="S294" s="93" t="n"/>
      <c r="T294" s="93" t="n"/>
    </row>
    <row r="295" ht="12.75" customHeight="1" s="111">
      <c r="A295" s="93" t="n"/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93" t="n"/>
      <c r="K295" s="93" t="n"/>
      <c r="L295" s="93" t="n"/>
      <c r="M295" s="93" t="n"/>
      <c r="N295" s="93" t="n"/>
      <c r="O295" s="93" t="n"/>
      <c r="P295" s="93" t="n"/>
      <c r="Q295" s="93" t="n"/>
      <c r="R295" s="93" t="n"/>
      <c r="S295" s="93" t="n"/>
      <c r="T295" s="93" t="n"/>
    </row>
    <row r="296" ht="12.75" customHeight="1" s="111">
      <c r="A296" s="93" t="n"/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93" t="n"/>
      <c r="K296" s="93" t="n"/>
      <c r="L296" s="93" t="n"/>
      <c r="M296" s="93" t="n"/>
      <c r="N296" s="93" t="n"/>
      <c r="O296" s="93" t="n"/>
      <c r="P296" s="93" t="n"/>
      <c r="Q296" s="93" t="n"/>
      <c r="R296" s="93" t="n"/>
      <c r="S296" s="93" t="n"/>
      <c r="T296" s="93" t="n"/>
    </row>
    <row r="297" ht="12.75" customHeight="1" s="111">
      <c r="A297" s="93" t="n"/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93" t="n"/>
      <c r="K297" s="93" t="n"/>
      <c r="L297" s="93" t="n"/>
      <c r="M297" s="93" t="n"/>
      <c r="N297" s="93" t="n"/>
      <c r="O297" s="93" t="n"/>
      <c r="P297" s="93" t="n"/>
      <c r="Q297" s="93" t="n"/>
      <c r="R297" s="93" t="n"/>
      <c r="S297" s="93" t="n"/>
      <c r="T297" s="93" t="n"/>
    </row>
    <row r="298" ht="12.75" customHeight="1" s="111">
      <c r="A298" s="93" t="n"/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93" t="n"/>
      <c r="K298" s="93" t="n"/>
      <c r="L298" s="93" t="n"/>
      <c r="M298" s="93" t="n"/>
      <c r="N298" s="93" t="n"/>
      <c r="O298" s="93" t="n"/>
      <c r="P298" s="93" t="n"/>
      <c r="Q298" s="93" t="n"/>
      <c r="R298" s="93" t="n"/>
      <c r="S298" s="93" t="n"/>
      <c r="T298" s="93" t="n"/>
    </row>
    <row r="299" ht="12.75" customHeight="1" s="111">
      <c r="A299" s="93" t="n"/>
      <c r="B299" s="93" t="n"/>
      <c r="C299" s="93" t="n"/>
      <c r="D299" s="93" t="n"/>
      <c r="E299" s="93" t="n"/>
      <c r="F299" s="93" t="n"/>
      <c r="G299" s="93" t="n"/>
      <c r="H299" s="93" t="n"/>
      <c r="I299" s="93" t="n"/>
      <c r="J299" s="93" t="n"/>
      <c r="K299" s="93" t="n"/>
      <c r="L299" s="93" t="n"/>
      <c r="M299" s="93" t="n"/>
      <c r="N299" s="93" t="n"/>
      <c r="O299" s="93" t="n"/>
      <c r="P299" s="93" t="n"/>
      <c r="Q299" s="93" t="n"/>
      <c r="R299" s="93" t="n"/>
      <c r="S299" s="93" t="n"/>
      <c r="T299" s="93" t="n"/>
    </row>
    <row r="300" ht="12.75" customHeight="1" s="111">
      <c r="A300" s="93" t="n"/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93" t="n"/>
      <c r="K300" s="93" t="n"/>
      <c r="L300" s="93" t="n"/>
      <c r="M300" s="93" t="n"/>
      <c r="N300" s="93" t="n"/>
      <c r="O300" s="93" t="n"/>
      <c r="P300" s="93" t="n"/>
      <c r="Q300" s="93" t="n"/>
      <c r="R300" s="93" t="n"/>
      <c r="S300" s="93" t="n"/>
      <c r="T300" s="93" t="n"/>
    </row>
    <row r="301" ht="12.75" customHeight="1" s="111">
      <c r="A301" s="93" t="n"/>
      <c r="B301" s="93" t="n"/>
      <c r="C301" s="93" t="n"/>
      <c r="D301" s="93" t="n"/>
      <c r="E301" s="93" t="n"/>
      <c r="F301" s="93" t="n"/>
      <c r="G301" s="93" t="n"/>
      <c r="H301" s="93" t="n"/>
      <c r="I301" s="93" t="n"/>
      <c r="J301" s="93" t="n"/>
      <c r="K301" s="93" t="n"/>
      <c r="L301" s="93" t="n"/>
      <c r="M301" s="93" t="n"/>
      <c r="N301" s="93" t="n"/>
      <c r="O301" s="93" t="n"/>
      <c r="P301" s="93" t="n"/>
      <c r="Q301" s="93" t="n"/>
      <c r="R301" s="93" t="n"/>
      <c r="S301" s="93" t="n"/>
      <c r="T301" s="93" t="n"/>
    </row>
    <row r="302" ht="12.75" customHeight="1" s="111">
      <c r="A302" s="93" t="n"/>
      <c r="B302" s="93" t="n"/>
      <c r="C302" s="93" t="n"/>
      <c r="D302" s="93" t="n"/>
      <c r="E302" s="93" t="n"/>
      <c r="F302" s="93" t="n"/>
      <c r="G302" s="93" t="n"/>
      <c r="H302" s="93" t="n"/>
      <c r="I302" s="93" t="n"/>
      <c r="J302" s="93" t="n"/>
      <c r="K302" s="93" t="n"/>
      <c r="L302" s="93" t="n"/>
      <c r="M302" s="93" t="n"/>
      <c r="N302" s="93" t="n"/>
      <c r="O302" s="93" t="n"/>
      <c r="P302" s="93" t="n"/>
      <c r="Q302" s="93" t="n"/>
      <c r="R302" s="93" t="n"/>
      <c r="S302" s="93" t="n"/>
      <c r="T302" s="93" t="n"/>
    </row>
    <row r="303" ht="12.75" customHeight="1" s="111">
      <c r="A303" s="93" t="n"/>
      <c r="B303" s="93" t="n"/>
      <c r="C303" s="93" t="n"/>
      <c r="D303" s="93" t="n"/>
      <c r="E303" s="93" t="n"/>
      <c r="F303" s="93" t="n"/>
      <c r="G303" s="93" t="n"/>
      <c r="H303" s="93" t="n"/>
      <c r="I303" s="93" t="n"/>
      <c r="J303" s="93" t="n"/>
      <c r="K303" s="93" t="n"/>
      <c r="L303" s="93" t="n"/>
      <c r="M303" s="93" t="n"/>
      <c r="N303" s="93" t="n"/>
      <c r="O303" s="93" t="n"/>
      <c r="P303" s="93" t="n"/>
      <c r="Q303" s="93" t="n"/>
      <c r="R303" s="93" t="n"/>
      <c r="S303" s="93" t="n"/>
      <c r="T303" s="93" t="n"/>
    </row>
    <row r="304" ht="12.75" customHeight="1" s="111">
      <c r="A304" s="93" t="n"/>
      <c r="B304" s="93" t="n"/>
      <c r="C304" s="93" t="n"/>
      <c r="D304" s="93" t="n"/>
      <c r="E304" s="93" t="n"/>
      <c r="F304" s="93" t="n"/>
      <c r="G304" s="93" t="n"/>
      <c r="H304" s="93" t="n"/>
      <c r="I304" s="93" t="n"/>
      <c r="J304" s="93" t="n"/>
      <c r="K304" s="93" t="n"/>
      <c r="L304" s="93" t="n"/>
      <c r="M304" s="93" t="n"/>
      <c r="N304" s="93" t="n"/>
      <c r="O304" s="93" t="n"/>
      <c r="P304" s="93" t="n"/>
      <c r="Q304" s="93" t="n"/>
      <c r="R304" s="93" t="n"/>
      <c r="S304" s="93" t="n"/>
      <c r="T304" s="93" t="n"/>
    </row>
    <row r="305" ht="12.75" customHeight="1" s="111">
      <c r="A305" s="93" t="n"/>
      <c r="B305" s="93" t="n"/>
      <c r="C305" s="93" t="n"/>
      <c r="D305" s="93" t="n"/>
      <c r="E305" s="93" t="n"/>
      <c r="F305" s="93" t="n"/>
      <c r="G305" s="93" t="n"/>
      <c r="H305" s="93" t="n"/>
      <c r="I305" s="93" t="n"/>
      <c r="J305" s="93" t="n"/>
      <c r="K305" s="93" t="n"/>
      <c r="L305" s="93" t="n"/>
      <c r="M305" s="93" t="n"/>
      <c r="N305" s="93" t="n"/>
      <c r="O305" s="93" t="n"/>
      <c r="P305" s="93" t="n"/>
      <c r="Q305" s="93" t="n"/>
      <c r="R305" s="93" t="n"/>
      <c r="S305" s="93" t="n"/>
      <c r="T305" s="93" t="n"/>
    </row>
    <row r="306" ht="12.75" customHeight="1" s="111">
      <c r="A306" s="93" t="n"/>
      <c r="B306" s="93" t="n"/>
      <c r="C306" s="93" t="n"/>
      <c r="D306" s="93" t="n"/>
      <c r="E306" s="93" t="n"/>
      <c r="F306" s="93" t="n"/>
      <c r="G306" s="93" t="n"/>
      <c r="H306" s="93" t="n"/>
      <c r="I306" s="93" t="n"/>
      <c r="J306" s="93" t="n"/>
      <c r="K306" s="93" t="n"/>
      <c r="L306" s="93" t="n"/>
      <c r="M306" s="93" t="n"/>
      <c r="N306" s="93" t="n"/>
      <c r="O306" s="93" t="n"/>
      <c r="P306" s="93" t="n"/>
      <c r="Q306" s="93" t="n"/>
      <c r="R306" s="93" t="n"/>
      <c r="S306" s="93" t="n"/>
      <c r="T306" s="93" t="n"/>
    </row>
    <row r="307" ht="12.75" customHeight="1" s="111">
      <c r="A307" s="93" t="n"/>
      <c r="B307" s="93" t="n"/>
      <c r="C307" s="93" t="n"/>
      <c r="D307" s="93" t="n"/>
      <c r="E307" s="93" t="n"/>
      <c r="F307" s="93" t="n"/>
      <c r="G307" s="93" t="n"/>
      <c r="H307" s="93" t="n"/>
      <c r="I307" s="93" t="n"/>
      <c r="J307" s="93" t="n"/>
      <c r="K307" s="93" t="n"/>
      <c r="L307" s="93" t="n"/>
      <c r="M307" s="93" t="n"/>
      <c r="N307" s="93" t="n"/>
      <c r="O307" s="93" t="n"/>
      <c r="P307" s="93" t="n"/>
      <c r="Q307" s="93" t="n"/>
      <c r="R307" s="93" t="n"/>
      <c r="S307" s="93" t="n"/>
      <c r="T307" s="93" t="n"/>
    </row>
    <row r="308" ht="12.75" customHeight="1" s="111">
      <c r="A308" s="93" t="n"/>
      <c r="B308" s="93" t="n"/>
      <c r="C308" s="93" t="n"/>
      <c r="D308" s="93" t="n"/>
      <c r="E308" s="93" t="n"/>
      <c r="F308" s="93" t="n"/>
      <c r="G308" s="93" t="n"/>
      <c r="H308" s="93" t="n"/>
      <c r="I308" s="93" t="n"/>
      <c r="J308" s="93" t="n"/>
      <c r="K308" s="93" t="n"/>
      <c r="L308" s="93" t="n"/>
      <c r="M308" s="93" t="n"/>
      <c r="N308" s="93" t="n"/>
      <c r="O308" s="93" t="n"/>
      <c r="P308" s="93" t="n"/>
      <c r="Q308" s="93" t="n"/>
      <c r="R308" s="93" t="n"/>
      <c r="S308" s="93" t="n"/>
      <c r="T308" s="93" t="n"/>
    </row>
    <row r="309" ht="12.75" customHeight="1" s="111">
      <c r="A309" s="93" t="n"/>
      <c r="B309" s="93" t="n"/>
      <c r="C309" s="93" t="n"/>
      <c r="D309" s="93" t="n"/>
      <c r="E309" s="93" t="n"/>
      <c r="F309" s="93" t="n"/>
      <c r="G309" s="93" t="n"/>
      <c r="H309" s="93" t="n"/>
      <c r="I309" s="93" t="n"/>
      <c r="J309" s="93" t="n"/>
      <c r="K309" s="93" t="n"/>
      <c r="L309" s="93" t="n"/>
      <c r="M309" s="93" t="n"/>
      <c r="N309" s="93" t="n"/>
      <c r="O309" s="93" t="n"/>
      <c r="P309" s="93" t="n"/>
      <c r="Q309" s="93" t="n"/>
      <c r="R309" s="93" t="n"/>
      <c r="S309" s="93" t="n"/>
      <c r="T309" s="93" t="n"/>
    </row>
    <row r="310" ht="12.75" customHeight="1" s="111">
      <c r="A310" s="93" t="n"/>
      <c r="B310" s="93" t="n"/>
      <c r="C310" s="93" t="n"/>
      <c r="D310" s="93" t="n"/>
      <c r="E310" s="93" t="n"/>
      <c r="F310" s="93" t="n"/>
      <c r="G310" s="93" t="n"/>
      <c r="H310" s="93" t="n"/>
      <c r="I310" s="93" t="n"/>
      <c r="J310" s="93" t="n"/>
      <c r="K310" s="93" t="n"/>
      <c r="L310" s="93" t="n"/>
      <c r="M310" s="93" t="n"/>
      <c r="N310" s="93" t="n"/>
      <c r="O310" s="93" t="n"/>
      <c r="P310" s="93" t="n"/>
      <c r="Q310" s="93" t="n"/>
      <c r="R310" s="93" t="n"/>
      <c r="S310" s="93" t="n"/>
      <c r="T310" s="93" t="n"/>
    </row>
    <row r="311" ht="12.75" customHeight="1" s="111">
      <c r="A311" s="93" t="n"/>
      <c r="B311" s="93" t="n"/>
      <c r="C311" s="93" t="n"/>
      <c r="D311" s="93" t="n"/>
      <c r="E311" s="93" t="n"/>
      <c r="F311" s="93" t="n"/>
      <c r="G311" s="93" t="n"/>
      <c r="H311" s="93" t="n"/>
      <c r="I311" s="93" t="n"/>
      <c r="J311" s="93" t="n"/>
      <c r="K311" s="93" t="n"/>
      <c r="L311" s="93" t="n"/>
      <c r="M311" s="93" t="n"/>
      <c r="N311" s="93" t="n"/>
      <c r="O311" s="93" t="n"/>
      <c r="P311" s="93" t="n"/>
      <c r="Q311" s="93" t="n"/>
      <c r="R311" s="93" t="n"/>
      <c r="S311" s="93" t="n"/>
      <c r="T311" s="93" t="n"/>
    </row>
    <row r="312" ht="12.75" customHeight="1" s="111">
      <c r="A312" s="93" t="n"/>
      <c r="B312" s="93" t="n"/>
      <c r="C312" s="93" t="n"/>
      <c r="D312" s="93" t="n"/>
      <c r="E312" s="93" t="n"/>
      <c r="F312" s="93" t="n"/>
      <c r="G312" s="93" t="n"/>
      <c r="H312" s="93" t="n"/>
      <c r="I312" s="93" t="n"/>
      <c r="J312" s="93" t="n"/>
      <c r="K312" s="93" t="n"/>
      <c r="L312" s="93" t="n"/>
      <c r="M312" s="93" t="n"/>
      <c r="N312" s="93" t="n"/>
      <c r="O312" s="93" t="n"/>
      <c r="P312" s="93" t="n"/>
      <c r="Q312" s="93" t="n"/>
      <c r="R312" s="93" t="n"/>
      <c r="S312" s="93" t="n"/>
      <c r="T312" s="93" t="n"/>
    </row>
    <row r="313" ht="12.75" customHeight="1" s="111">
      <c r="A313" s="93" t="n"/>
      <c r="B313" s="93" t="n"/>
      <c r="C313" s="93" t="n"/>
      <c r="D313" s="93" t="n"/>
      <c r="E313" s="93" t="n"/>
      <c r="F313" s="93" t="n"/>
      <c r="G313" s="93" t="n"/>
      <c r="H313" s="93" t="n"/>
      <c r="I313" s="93" t="n"/>
      <c r="J313" s="93" t="n"/>
      <c r="K313" s="93" t="n"/>
      <c r="L313" s="93" t="n"/>
      <c r="M313" s="93" t="n"/>
      <c r="N313" s="93" t="n"/>
      <c r="O313" s="93" t="n"/>
      <c r="P313" s="93" t="n"/>
      <c r="Q313" s="93" t="n"/>
      <c r="R313" s="93" t="n"/>
      <c r="S313" s="93" t="n"/>
      <c r="T313" s="93" t="n"/>
    </row>
    <row r="314" ht="12.75" customHeight="1" s="111">
      <c r="A314" s="93" t="n"/>
      <c r="B314" s="93" t="n"/>
      <c r="C314" s="93" t="n"/>
      <c r="D314" s="93" t="n"/>
      <c r="E314" s="93" t="n"/>
      <c r="F314" s="93" t="n"/>
      <c r="G314" s="93" t="n"/>
      <c r="H314" s="93" t="n"/>
      <c r="I314" s="93" t="n"/>
      <c r="J314" s="93" t="n"/>
      <c r="K314" s="93" t="n"/>
      <c r="L314" s="93" t="n"/>
      <c r="M314" s="93" t="n"/>
      <c r="N314" s="93" t="n"/>
      <c r="O314" s="93" t="n"/>
      <c r="P314" s="93" t="n"/>
      <c r="Q314" s="93" t="n"/>
      <c r="R314" s="93" t="n"/>
      <c r="S314" s="93" t="n"/>
      <c r="T314" s="93" t="n"/>
    </row>
    <row r="315" ht="12.75" customHeight="1" s="111">
      <c r="A315" s="93" t="n"/>
      <c r="B315" s="93" t="n"/>
      <c r="C315" s="93" t="n"/>
      <c r="D315" s="93" t="n"/>
      <c r="E315" s="93" t="n"/>
      <c r="F315" s="93" t="n"/>
      <c r="G315" s="93" t="n"/>
      <c r="H315" s="93" t="n"/>
      <c r="I315" s="93" t="n"/>
      <c r="J315" s="93" t="n"/>
      <c r="K315" s="93" t="n"/>
      <c r="L315" s="93" t="n"/>
      <c r="M315" s="93" t="n"/>
      <c r="N315" s="93" t="n"/>
      <c r="O315" s="93" t="n"/>
      <c r="P315" s="93" t="n"/>
      <c r="Q315" s="93" t="n"/>
      <c r="R315" s="93" t="n"/>
      <c r="S315" s="93" t="n"/>
      <c r="T315" s="93" t="n"/>
    </row>
    <row r="316" ht="12.75" customHeight="1" s="111">
      <c r="A316" s="93" t="n"/>
      <c r="B316" s="93" t="n"/>
      <c r="C316" s="93" t="n"/>
      <c r="D316" s="93" t="n"/>
      <c r="E316" s="93" t="n"/>
      <c r="F316" s="93" t="n"/>
      <c r="G316" s="93" t="n"/>
      <c r="H316" s="93" t="n"/>
      <c r="I316" s="93" t="n"/>
      <c r="J316" s="93" t="n"/>
      <c r="K316" s="93" t="n"/>
      <c r="L316" s="93" t="n"/>
      <c r="M316" s="93" t="n"/>
      <c r="N316" s="93" t="n"/>
      <c r="O316" s="93" t="n"/>
      <c r="P316" s="93" t="n"/>
      <c r="Q316" s="93" t="n"/>
      <c r="R316" s="93" t="n"/>
      <c r="S316" s="93" t="n"/>
      <c r="T316" s="93" t="n"/>
    </row>
    <row r="317" ht="12.75" customHeight="1" s="111">
      <c r="A317" s="93" t="n"/>
      <c r="B317" s="93" t="n"/>
      <c r="C317" s="93" t="n"/>
      <c r="D317" s="93" t="n"/>
      <c r="E317" s="93" t="n"/>
      <c r="F317" s="93" t="n"/>
      <c r="G317" s="93" t="n"/>
      <c r="H317" s="93" t="n"/>
      <c r="I317" s="93" t="n"/>
      <c r="J317" s="93" t="n"/>
      <c r="K317" s="93" t="n"/>
      <c r="L317" s="93" t="n"/>
      <c r="M317" s="93" t="n"/>
      <c r="N317" s="93" t="n"/>
      <c r="O317" s="93" t="n"/>
      <c r="P317" s="93" t="n"/>
      <c r="Q317" s="93" t="n"/>
      <c r="R317" s="93" t="n"/>
      <c r="S317" s="93" t="n"/>
      <c r="T317" s="93" t="n"/>
    </row>
    <row r="318" ht="12.75" customHeight="1" s="111">
      <c r="A318" s="93" t="n"/>
      <c r="B318" s="93" t="n"/>
      <c r="C318" s="93" t="n"/>
      <c r="D318" s="93" t="n"/>
      <c r="E318" s="93" t="n"/>
      <c r="F318" s="93" t="n"/>
      <c r="G318" s="93" t="n"/>
      <c r="H318" s="93" t="n"/>
      <c r="I318" s="93" t="n"/>
      <c r="J318" s="93" t="n"/>
      <c r="K318" s="93" t="n"/>
      <c r="L318" s="93" t="n"/>
      <c r="M318" s="93" t="n"/>
      <c r="N318" s="93" t="n"/>
      <c r="O318" s="93" t="n"/>
      <c r="P318" s="93" t="n"/>
      <c r="Q318" s="93" t="n"/>
      <c r="R318" s="93" t="n"/>
      <c r="S318" s="93" t="n"/>
      <c r="T318" s="93" t="n"/>
    </row>
    <row r="319" ht="12.75" customHeight="1" s="111">
      <c r="A319" s="93" t="n"/>
      <c r="B319" s="93" t="n"/>
      <c r="C319" s="93" t="n"/>
      <c r="D319" s="93" t="n"/>
      <c r="E319" s="93" t="n"/>
      <c r="F319" s="93" t="n"/>
      <c r="G319" s="93" t="n"/>
      <c r="H319" s="93" t="n"/>
      <c r="I319" s="93" t="n"/>
      <c r="J319" s="93" t="n"/>
      <c r="K319" s="93" t="n"/>
      <c r="L319" s="93" t="n"/>
      <c r="M319" s="93" t="n"/>
      <c r="N319" s="93" t="n"/>
      <c r="O319" s="93" t="n"/>
      <c r="P319" s="93" t="n"/>
      <c r="Q319" s="93" t="n"/>
      <c r="R319" s="93" t="n"/>
      <c r="S319" s="93" t="n"/>
      <c r="T319" s="93" t="n"/>
    </row>
    <row r="320" ht="12.75" customHeight="1" s="111">
      <c r="A320" s="93" t="n"/>
      <c r="B320" s="93" t="n"/>
      <c r="C320" s="93" t="n"/>
      <c r="D320" s="93" t="n"/>
      <c r="E320" s="93" t="n"/>
      <c r="F320" s="93" t="n"/>
      <c r="G320" s="93" t="n"/>
      <c r="H320" s="93" t="n"/>
      <c r="I320" s="93" t="n"/>
      <c r="J320" s="93" t="n"/>
      <c r="K320" s="93" t="n"/>
      <c r="L320" s="93" t="n"/>
      <c r="M320" s="93" t="n"/>
      <c r="N320" s="93" t="n"/>
      <c r="O320" s="93" t="n"/>
      <c r="P320" s="93" t="n"/>
      <c r="Q320" s="93" t="n"/>
      <c r="R320" s="93" t="n"/>
      <c r="S320" s="93" t="n"/>
      <c r="T320" s="93" t="n"/>
    </row>
    <row r="321" ht="12.75" customHeight="1" s="111">
      <c r="A321" s="93" t="n"/>
      <c r="B321" s="93" t="n"/>
      <c r="C321" s="93" t="n"/>
      <c r="D321" s="93" t="n"/>
      <c r="E321" s="93" t="n"/>
      <c r="F321" s="93" t="n"/>
      <c r="G321" s="93" t="n"/>
      <c r="H321" s="93" t="n"/>
      <c r="I321" s="93" t="n"/>
      <c r="J321" s="93" t="n"/>
      <c r="K321" s="93" t="n"/>
      <c r="L321" s="93" t="n"/>
      <c r="M321" s="93" t="n"/>
      <c r="N321" s="93" t="n"/>
      <c r="O321" s="93" t="n"/>
      <c r="P321" s="93" t="n"/>
      <c r="Q321" s="93" t="n"/>
      <c r="R321" s="93" t="n"/>
      <c r="S321" s="93" t="n"/>
      <c r="T321" s="93" t="n"/>
    </row>
    <row r="322" ht="12.75" customHeight="1" s="111">
      <c r="A322" s="93" t="n"/>
      <c r="B322" s="93" t="n"/>
      <c r="C322" s="93" t="n"/>
      <c r="D322" s="93" t="n"/>
      <c r="E322" s="93" t="n"/>
      <c r="F322" s="93" t="n"/>
      <c r="G322" s="93" t="n"/>
      <c r="H322" s="93" t="n"/>
      <c r="I322" s="93" t="n"/>
      <c r="J322" s="93" t="n"/>
      <c r="K322" s="93" t="n"/>
      <c r="L322" s="93" t="n"/>
      <c r="M322" s="93" t="n"/>
      <c r="N322" s="93" t="n"/>
      <c r="O322" s="93" t="n"/>
      <c r="P322" s="93" t="n"/>
      <c r="Q322" s="93" t="n"/>
      <c r="R322" s="93" t="n"/>
      <c r="S322" s="93" t="n"/>
      <c r="T322" s="93" t="n"/>
    </row>
    <row r="323" ht="12.75" customHeight="1" s="111">
      <c r="A323" s="93" t="n"/>
      <c r="B323" s="93" t="n"/>
      <c r="C323" s="93" t="n"/>
      <c r="D323" s="93" t="n"/>
      <c r="E323" s="93" t="n"/>
      <c r="F323" s="93" t="n"/>
      <c r="G323" s="93" t="n"/>
      <c r="H323" s="93" t="n"/>
      <c r="I323" s="93" t="n"/>
      <c r="J323" s="93" t="n"/>
      <c r="K323" s="93" t="n"/>
      <c r="L323" s="93" t="n"/>
      <c r="M323" s="93" t="n"/>
      <c r="N323" s="93" t="n"/>
      <c r="O323" s="93" t="n"/>
      <c r="P323" s="93" t="n"/>
      <c r="Q323" s="93" t="n"/>
      <c r="R323" s="93" t="n"/>
      <c r="S323" s="93" t="n"/>
      <c r="T323" s="93" t="n"/>
    </row>
    <row r="324" ht="12.75" customHeight="1" s="111">
      <c r="A324" s="93" t="n"/>
      <c r="B324" s="93" t="n"/>
      <c r="C324" s="93" t="n"/>
      <c r="D324" s="93" t="n"/>
      <c r="E324" s="93" t="n"/>
      <c r="F324" s="93" t="n"/>
      <c r="G324" s="93" t="n"/>
      <c r="H324" s="93" t="n"/>
      <c r="I324" s="93" t="n"/>
      <c r="J324" s="93" t="n"/>
      <c r="K324" s="93" t="n"/>
      <c r="L324" s="93" t="n"/>
      <c r="M324" s="93" t="n"/>
      <c r="N324" s="93" t="n"/>
      <c r="O324" s="93" t="n"/>
      <c r="P324" s="93" t="n"/>
      <c r="Q324" s="93" t="n"/>
      <c r="R324" s="93" t="n"/>
      <c r="S324" s="93" t="n"/>
      <c r="T324" s="93" t="n"/>
    </row>
    <row r="325" ht="12.75" customHeight="1" s="111">
      <c r="A325" s="93" t="n"/>
      <c r="B325" s="93" t="n"/>
      <c r="C325" s="93" t="n"/>
      <c r="D325" s="93" t="n"/>
      <c r="E325" s="93" t="n"/>
      <c r="F325" s="93" t="n"/>
      <c r="G325" s="93" t="n"/>
      <c r="H325" s="93" t="n"/>
      <c r="I325" s="93" t="n"/>
      <c r="J325" s="93" t="n"/>
      <c r="K325" s="93" t="n"/>
      <c r="L325" s="93" t="n"/>
      <c r="M325" s="93" t="n"/>
      <c r="N325" s="93" t="n"/>
      <c r="O325" s="93" t="n"/>
      <c r="P325" s="93" t="n"/>
      <c r="Q325" s="93" t="n"/>
      <c r="R325" s="93" t="n"/>
      <c r="S325" s="93" t="n"/>
      <c r="T325" s="93" t="n"/>
    </row>
    <row r="326" ht="12.75" customHeight="1" s="111">
      <c r="A326" s="93" t="n"/>
      <c r="B326" s="93" t="n"/>
      <c r="C326" s="93" t="n"/>
      <c r="D326" s="93" t="n"/>
      <c r="E326" s="93" t="n"/>
      <c r="F326" s="93" t="n"/>
      <c r="G326" s="93" t="n"/>
      <c r="H326" s="93" t="n"/>
      <c r="I326" s="93" t="n"/>
      <c r="J326" s="93" t="n"/>
      <c r="K326" s="93" t="n"/>
      <c r="L326" s="93" t="n"/>
      <c r="M326" s="93" t="n"/>
      <c r="N326" s="93" t="n"/>
      <c r="O326" s="93" t="n"/>
      <c r="P326" s="93" t="n"/>
      <c r="Q326" s="93" t="n"/>
      <c r="R326" s="93" t="n"/>
      <c r="S326" s="93" t="n"/>
      <c r="T326" s="93" t="n"/>
    </row>
    <row r="327" ht="12.75" customHeight="1" s="111">
      <c r="A327" s="93" t="n"/>
      <c r="B327" s="93" t="n"/>
      <c r="C327" s="93" t="n"/>
      <c r="D327" s="93" t="n"/>
      <c r="E327" s="93" t="n"/>
      <c r="F327" s="93" t="n"/>
      <c r="G327" s="93" t="n"/>
      <c r="H327" s="93" t="n"/>
      <c r="I327" s="93" t="n"/>
      <c r="J327" s="93" t="n"/>
      <c r="K327" s="93" t="n"/>
      <c r="L327" s="93" t="n"/>
      <c r="M327" s="93" t="n"/>
      <c r="N327" s="93" t="n"/>
      <c r="O327" s="93" t="n"/>
      <c r="P327" s="93" t="n"/>
      <c r="Q327" s="93" t="n"/>
      <c r="R327" s="93" t="n"/>
      <c r="S327" s="93" t="n"/>
      <c r="T327" s="93" t="n"/>
    </row>
    <row r="328" ht="12.75" customHeight="1" s="111">
      <c r="A328" s="93" t="n"/>
      <c r="B328" s="93" t="n"/>
      <c r="C328" s="93" t="n"/>
      <c r="D328" s="93" t="n"/>
      <c r="E328" s="93" t="n"/>
      <c r="F328" s="93" t="n"/>
      <c r="G328" s="93" t="n"/>
      <c r="H328" s="93" t="n"/>
      <c r="I328" s="93" t="n"/>
      <c r="J328" s="93" t="n"/>
      <c r="K328" s="93" t="n"/>
      <c r="L328" s="93" t="n"/>
      <c r="M328" s="93" t="n"/>
      <c r="N328" s="93" t="n"/>
      <c r="O328" s="93" t="n"/>
      <c r="P328" s="93" t="n"/>
      <c r="Q328" s="93" t="n"/>
      <c r="R328" s="93" t="n"/>
      <c r="S328" s="93" t="n"/>
      <c r="T328" s="93" t="n"/>
    </row>
    <row r="329" ht="12.75" customHeight="1" s="111">
      <c r="A329" s="93" t="n"/>
      <c r="B329" s="93" t="n"/>
      <c r="C329" s="93" t="n"/>
      <c r="D329" s="93" t="n"/>
      <c r="E329" s="93" t="n"/>
      <c r="F329" s="93" t="n"/>
      <c r="G329" s="93" t="n"/>
      <c r="H329" s="93" t="n"/>
      <c r="I329" s="93" t="n"/>
      <c r="J329" s="93" t="n"/>
      <c r="K329" s="93" t="n"/>
      <c r="L329" s="93" t="n"/>
      <c r="M329" s="93" t="n"/>
      <c r="N329" s="93" t="n"/>
      <c r="O329" s="93" t="n"/>
      <c r="P329" s="93" t="n"/>
      <c r="Q329" s="93" t="n"/>
      <c r="R329" s="93" t="n"/>
      <c r="S329" s="93" t="n"/>
      <c r="T329" s="93" t="n"/>
    </row>
    <row r="330" ht="12.75" customHeight="1" s="111">
      <c r="A330" s="93" t="n"/>
      <c r="B330" s="93" t="n"/>
      <c r="C330" s="93" t="n"/>
      <c r="D330" s="93" t="n"/>
      <c r="E330" s="93" t="n"/>
      <c r="F330" s="93" t="n"/>
      <c r="G330" s="93" t="n"/>
      <c r="H330" s="93" t="n"/>
      <c r="I330" s="93" t="n"/>
      <c r="J330" s="93" t="n"/>
      <c r="K330" s="93" t="n"/>
      <c r="L330" s="93" t="n"/>
      <c r="M330" s="93" t="n"/>
      <c r="N330" s="93" t="n"/>
      <c r="O330" s="93" t="n"/>
      <c r="P330" s="93" t="n"/>
      <c r="Q330" s="93" t="n"/>
      <c r="R330" s="93" t="n"/>
      <c r="S330" s="93" t="n"/>
      <c r="T330" s="93" t="n"/>
    </row>
    <row r="331" ht="12.75" customHeight="1" s="111">
      <c r="A331" s="93" t="n"/>
      <c r="B331" s="93" t="n"/>
      <c r="C331" s="93" t="n"/>
      <c r="D331" s="93" t="n"/>
      <c r="E331" s="93" t="n"/>
      <c r="F331" s="93" t="n"/>
      <c r="G331" s="93" t="n"/>
      <c r="H331" s="93" t="n"/>
      <c r="I331" s="93" t="n"/>
      <c r="J331" s="93" t="n"/>
      <c r="K331" s="93" t="n"/>
      <c r="L331" s="93" t="n"/>
      <c r="M331" s="93" t="n"/>
      <c r="N331" s="93" t="n"/>
      <c r="O331" s="93" t="n"/>
      <c r="P331" s="93" t="n"/>
      <c r="Q331" s="93" t="n"/>
      <c r="R331" s="93" t="n"/>
      <c r="S331" s="93" t="n"/>
      <c r="T331" s="93" t="n"/>
    </row>
    <row r="332" ht="12.75" customHeight="1" s="111">
      <c r="A332" s="93" t="n"/>
      <c r="B332" s="93" t="n"/>
      <c r="C332" s="93" t="n"/>
      <c r="D332" s="93" t="n"/>
      <c r="E332" s="93" t="n"/>
      <c r="F332" s="93" t="n"/>
      <c r="G332" s="93" t="n"/>
      <c r="H332" s="93" t="n"/>
      <c r="I332" s="93" t="n"/>
      <c r="J332" s="93" t="n"/>
      <c r="K332" s="93" t="n"/>
      <c r="L332" s="93" t="n"/>
      <c r="M332" s="93" t="n"/>
      <c r="N332" s="93" t="n"/>
      <c r="O332" s="93" t="n"/>
      <c r="P332" s="93" t="n"/>
      <c r="Q332" s="93" t="n"/>
      <c r="R332" s="93" t="n"/>
      <c r="S332" s="93" t="n"/>
      <c r="T332" s="93" t="n"/>
    </row>
    <row r="333" ht="12.75" customHeight="1" s="111">
      <c r="A333" s="93" t="n"/>
      <c r="B333" s="93" t="n"/>
      <c r="C333" s="93" t="n"/>
      <c r="D333" s="93" t="n"/>
      <c r="E333" s="93" t="n"/>
      <c r="F333" s="93" t="n"/>
      <c r="G333" s="93" t="n"/>
      <c r="H333" s="93" t="n"/>
      <c r="I333" s="93" t="n"/>
      <c r="J333" s="93" t="n"/>
      <c r="K333" s="93" t="n"/>
      <c r="L333" s="93" t="n"/>
      <c r="M333" s="93" t="n"/>
      <c r="N333" s="93" t="n"/>
      <c r="O333" s="93" t="n"/>
      <c r="P333" s="93" t="n"/>
      <c r="Q333" s="93" t="n"/>
      <c r="R333" s="93" t="n"/>
      <c r="S333" s="93" t="n"/>
      <c r="T333" s="93" t="n"/>
    </row>
    <row r="334" ht="12.75" customHeight="1" s="111">
      <c r="A334" s="93" t="n"/>
      <c r="B334" s="93" t="n"/>
      <c r="C334" s="93" t="n"/>
      <c r="D334" s="93" t="n"/>
      <c r="E334" s="93" t="n"/>
      <c r="F334" s="93" t="n"/>
      <c r="G334" s="93" t="n"/>
      <c r="H334" s="93" t="n"/>
      <c r="I334" s="93" t="n"/>
      <c r="J334" s="93" t="n"/>
      <c r="K334" s="93" t="n"/>
      <c r="L334" s="93" t="n"/>
      <c r="M334" s="93" t="n"/>
      <c r="N334" s="93" t="n"/>
      <c r="O334" s="93" t="n"/>
      <c r="P334" s="93" t="n"/>
      <c r="Q334" s="93" t="n"/>
      <c r="R334" s="93" t="n"/>
      <c r="S334" s="93" t="n"/>
      <c r="T334" s="93" t="n"/>
    </row>
    <row r="335" ht="12.75" customHeight="1" s="111">
      <c r="A335" s="93" t="n"/>
      <c r="B335" s="93" t="n"/>
      <c r="C335" s="93" t="n"/>
      <c r="D335" s="93" t="n"/>
      <c r="E335" s="93" t="n"/>
      <c r="F335" s="93" t="n"/>
      <c r="G335" s="93" t="n"/>
      <c r="H335" s="93" t="n"/>
      <c r="I335" s="93" t="n"/>
      <c r="J335" s="93" t="n"/>
      <c r="K335" s="93" t="n"/>
      <c r="L335" s="93" t="n"/>
      <c r="M335" s="93" t="n"/>
      <c r="N335" s="93" t="n"/>
      <c r="O335" s="93" t="n"/>
      <c r="P335" s="93" t="n"/>
      <c r="Q335" s="93" t="n"/>
      <c r="R335" s="93" t="n"/>
      <c r="S335" s="93" t="n"/>
      <c r="T335" s="93" t="n"/>
    </row>
    <row r="336" ht="12.75" customHeight="1" s="111">
      <c r="A336" s="93" t="n"/>
      <c r="B336" s="93" t="n"/>
      <c r="C336" s="93" t="n"/>
      <c r="D336" s="93" t="n"/>
      <c r="E336" s="93" t="n"/>
      <c r="F336" s="93" t="n"/>
      <c r="G336" s="93" t="n"/>
      <c r="H336" s="93" t="n"/>
      <c r="I336" s="93" t="n"/>
      <c r="J336" s="93" t="n"/>
      <c r="K336" s="93" t="n"/>
      <c r="L336" s="93" t="n"/>
      <c r="M336" s="93" t="n"/>
      <c r="N336" s="93" t="n"/>
      <c r="O336" s="93" t="n"/>
      <c r="P336" s="93" t="n"/>
      <c r="Q336" s="93" t="n"/>
      <c r="R336" s="93" t="n"/>
      <c r="S336" s="93" t="n"/>
      <c r="T336" s="93" t="n"/>
    </row>
    <row r="337" ht="12.75" customHeight="1" s="111">
      <c r="A337" s="93" t="n"/>
      <c r="B337" s="93" t="n"/>
      <c r="C337" s="93" t="n"/>
      <c r="D337" s="93" t="n"/>
      <c r="E337" s="93" t="n"/>
      <c r="F337" s="93" t="n"/>
      <c r="G337" s="93" t="n"/>
      <c r="H337" s="93" t="n"/>
      <c r="I337" s="93" t="n"/>
      <c r="J337" s="93" t="n"/>
      <c r="K337" s="93" t="n"/>
      <c r="L337" s="93" t="n"/>
      <c r="M337" s="93" t="n"/>
      <c r="N337" s="93" t="n"/>
      <c r="O337" s="93" t="n"/>
      <c r="P337" s="93" t="n"/>
      <c r="Q337" s="93" t="n"/>
      <c r="R337" s="93" t="n"/>
      <c r="S337" s="93" t="n"/>
      <c r="T337" s="93" t="n"/>
    </row>
    <row r="338" ht="12.75" customHeight="1" s="111">
      <c r="A338" s="93" t="n"/>
      <c r="B338" s="93" t="n"/>
      <c r="C338" s="93" t="n"/>
      <c r="D338" s="93" t="n"/>
      <c r="E338" s="93" t="n"/>
      <c r="F338" s="93" t="n"/>
      <c r="G338" s="93" t="n"/>
      <c r="H338" s="93" t="n"/>
      <c r="I338" s="93" t="n"/>
      <c r="J338" s="93" t="n"/>
      <c r="K338" s="93" t="n"/>
      <c r="L338" s="93" t="n"/>
      <c r="M338" s="93" t="n"/>
      <c r="N338" s="93" t="n"/>
      <c r="O338" s="93" t="n"/>
      <c r="P338" s="93" t="n"/>
      <c r="Q338" s="93" t="n"/>
      <c r="R338" s="93" t="n"/>
      <c r="S338" s="93" t="n"/>
      <c r="T338" s="93" t="n"/>
    </row>
    <row r="339" ht="12.75" customHeight="1" s="111">
      <c r="A339" s="93" t="n"/>
      <c r="B339" s="93" t="n"/>
      <c r="C339" s="93" t="n"/>
      <c r="D339" s="93" t="n"/>
      <c r="E339" s="93" t="n"/>
      <c r="F339" s="93" t="n"/>
      <c r="G339" s="93" t="n"/>
      <c r="H339" s="93" t="n"/>
      <c r="I339" s="93" t="n"/>
      <c r="J339" s="93" t="n"/>
      <c r="K339" s="93" t="n"/>
      <c r="L339" s="93" t="n"/>
      <c r="M339" s="93" t="n"/>
      <c r="N339" s="93" t="n"/>
      <c r="O339" s="93" t="n"/>
      <c r="P339" s="93" t="n"/>
      <c r="Q339" s="93" t="n"/>
      <c r="R339" s="93" t="n"/>
      <c r="S339" s="93" t="n"/>
      <c r="T339" s="93" t="n"/>
    </row>
    <row r="340" ht="12.75" customHeight="1" s="111">
      <c r="A340" s="93" t="n"/>
      <c r="B340" s="93" t="n"/>
      <c r="C340" s="93" t="n"/>
      <c r="D340" s="93" t="n"/>
      <c r="E340" s="93" t="n"/>
      <c r="F340" s="93" t="n"/>
      <c r="G340" s="93" t="n"/>
      <c r="H340" s="93" t="n"/>
      <c r="I340" s="93" t="n"/>
      <c r="J340" s="93" t="n"/>
      <c r="K340" s="93" t="n"/>
      <c r="L340" s="93" t="n"/>
      <c r="M340" s="93" t="n"/>
      <c r="N340" s="93" t="n"/>
      <c r="O340" s="93" t="n"/>
      <c r="P340" s="93" t="n"/>
      <c r="Q340" s="93" t="n"/>
      <c r="R340" s="93" t="n"/>
      <c r="S340" s="93" t="n"/>
      <c r="T340" s="93" t="n"/>
    </row>
    <row r="341" ht="12.75" customHeight="1" s="111">
      <c r="A341" s="93" t="n"/>
      <c r="B341" s="93" t="n"/>
      <c r="C341" s="93" t="n"/>
      <c r="D341" s="93" t="n"/>
      <c r="E341" s="93" t="n"/>
      <c r="F341" s="93" t="n"/>
      <c r="G341" s="93" t="n"/>
      <c r="H341" s="93" t="n"/>
      <c r="I341" s="93" t="n"/>
      <c r="J341" s="93" t="n"/>
      <c r="K341" s="93" t="n"/>
      <c r="L341" s="93" t="n"/>
      <c r="M341" s="93" t="n"/>
      <c r="N341" s="93" t="n"/>
      <c r="O341" s="93" t="n"/>
      <c r="P341" s="93" t="n"/>
      <c r="Q341" s="93" t="n"/>
      <c r="R341" s="93" t="n"/>
      <c r="S341" s="93" t="n"/>
      <c r="T341" s="93" t="n"/>
    </row>
    <row r="342" ht="12.75" customHeight="1" s="111">
      <c r="A342" s="93" t="n"/>
      <c r="B342" s="93" t="n"/>
      <c r="C342" s="93" t="n"/>
      <c r="D342" s="93" t="n"/>
      <c r="E342" s="93" t="n"/>
      <c r="F342" s="93" t="n"/>
      <c r="G342" s="93" t="n"/>
      <c r="H342" s="93" t="n"/>
      <c r="I342" s="93" t="n"/>
      <c r="J342" s="93" t="n"/>
      <c r="K342" s="93" t="n"/>
      <c r="L342" s="93" t="n"/>
      <c r="M342" s="93" t="n"/>
      <c r="N342" s="93" t="n"/>
      <c r="O342" s="93" t="n"/>
      <c r="P342" s="93" t="n"/>
      <c r="Q342" s="93" t="n"/>
      <c r="R342" s="93" t="n"/>
      <c r="S342" s="93" t="n"/>
      <c r="T342" s="93" t="n"/>
    </row>
    <row r="343" ht="12.75" customHeight="1" s="111">
      <c r="A343" s="93" t="n"/>
      <c r="B343" s="93" t="n"/>
      <c r="C343" s="93" t="n"/>
      <c r="D343" s="93" t="n"/>
      <c r="E343" s="93" t="n"/>
      <c r="F343" s="93" t="n"/>
      <c r="G343" s="93" t="n"/>
      <c r="H343" s="93" t="n"/>
      <c r="I343" s="93" t="n"/>
      <c r="J343" s="93" t="n"/>
      <c r="K343" s="93" t="n"/>
      <c r="L343" s="93" t="n"/>
      <c r="M343" s="93" t="n"/>
      <c r="N343" s="93" t="n"/>
      <c r="O343" s="93" t="n"/>
      <c r="P343" s="93" t="n"/>
      <c r="Q343" s="93" t="n"/>
      <c r="R343" s="93" t="n"/>
      <c r="S343" s="93" t="n"/>
      <c r="T343" s="93" t="n"/>
    </row>
    <row r="344" ht="12.75" customHeight="1" s="111">
      <c r="A344" s="93" t="n"/>
      <c r="B344" s="93" t="n"/>
      <c r="C344" s="93" t="n"/>
      <c r="D344" s="93" t="n"/>
      <c r="E344" s="93" t="n"/>
      <c r="F344" s="93" t="n"/>
      <c r="G344" s="93" t="n"/>
      <c r="H344" s="93" t="n"/>
      <c r="I344" s="93" t="n"/>
      <c r="J344" s="93" t="n"/>
      <c r="K344" s="93" t="n"/>
      <c r="L344" s="93" t="n"/>
      <c r="M344" s="93" t="n"/>
      <c r="N344" s="93" t="n"/>
      <c r="O344" s="93" t="n"/>
      <c r="P344" s="93" t="n"/>
      <c r="Q344" s="93" t="n"/>
      <c r="R344" s="93" t="n"/>
      <c r="S344" s="93" t="n"/>
      <c r="T344" s="93" t="n"/>
    </row>
    <row r="345" ht="12.75" customHeight="1" s="111">
      <c r="A345" s="93" t="n"/>
      <c r="B345" s="93" t="n"/>
      <c r="C345" s="93" t="n"/>
      <c r="D345" s="93" t="n"/>
      <c r="E345" s="93" t="n"/>
      <c r="F345" s="93" t="n"/>
      <c r="G345" s="93" t="n"/>
      <c r="H345" s="93" t="n"/>
      <c r="I345" s="93" t="n"/>
      <c r="J345" s="93" t="n"/>
      <c r="K345" s="93" t="n"/>
      <c r="L345" s="93" t="n"/>
      <c r="M345" s="93" t="n"/>
      <c r="N345" s="93" t="n"/>
      <c r="O345" s="93" t="n"/>
      <c r="P345" s="93" t="n"/>
      <c r="Q345" s="93" t="n"/>
      <c r="R345" s="93" t="n"/>
      <c r="S345" s="93" t="n"/>
      <c r="T345" s="93" t="n"/>
    </row>
    <row r="346" ht="12.75" customHeight="1" s="111">
      <c r="A346" s="93" t="n"/>
      <c r="B346" s="93" t="n"/>
      <c r="C346" s="93" t="n"/>
      <c r="D346" s="93" t="n"/>
      <c r="E346" s="93" t="n"/>
      <c r="F346" s="93" t="n"/>
      <c r="G346" s="93" t="n"/>
      <c r="H346" s="93" t="n"/>
      <c r="I346" s="93" t="n"/>
      <c r="J346" s="93" t="n"/>
      <c r="K346" s="93" t="n"/>
      <c r="L346" s="93" t="n"/>
      <c r="M346" s="93" t="n"/>
      <c r="N346" s="93" t="n"/>
      <c r="O346" s="93" t="n"/>
      <c r="P346" s="93" t="n"/>
      <c r="Q346" s="93" t="n"/>
      <c r="R346" s="93" t="n"/>
      <c r="S346" s="93" t="n"/>
      <c r="T346" s="93" t="n"/>
    </row>
    <row r="347" ht="12.75" customHeight="1" s="111">
      <c r="A347" s="93" t="n"/>
      <c r="B347" s="93" t="n"/>
      <c r="C347" s="93" t="n"/>
      <c r="D347" s="93" t="n"/>
      <c r="E347" s="93" t="n"/>
      <c r="F347" s="93" t="n"/>
      <c r="G347" s="93" t="n"/>
      <c r="H347" s="93" t="n"/>
      <c r="I347" s="93" t="n"/>
      <c r="J347" s="93" t="n"/>
      <c r="K347" s="93" t="n"/>
      <c r="L347" s="93" t="n"/>
      <c r="M347" s="93" t="n"/>
      <c r="N347" s="93" t="n"/>
      <c r="O347" s="93" t="n"/>
      <c r="P347" s="93" t="n"/>
      <c r="Q347" s="93" t="n"/>
      <c r="R347" s="93" t="n"/>
      <c r="S347" s="93" t="n"/>
      <c r="T347" s="93" t="n"/>
    </row>
    <row r="348" ht="12.75" customHeight="1" s="111">
      <c r="A348" s="93" t="n"/>
      <c r="B348" s="93" t="n"/>
      <c r="C348" s="93" t="n"/>
      <c r="D348" s="93" t="n"/>
      <c r="E348" s="93" t="n"/>
      <c r="F348" s="93" t="n"/>
      <c r="G348" s="93" t="n"/>
      <c r="H348" s="93" t="n"/>
      <c r="I348" s="93" t="n"/>
      <c r="J348" s="93" t="n"/>
      <c r="K348" s="93" t="n"/>
      <c r="L348" s="93" t="n"/>
      <c r="M348" s="93" t="n"/>
      <c r="N348" s="93" t="n"/>
      <c r="O348" s="93" t="n"/>
      <c r="P348" s="93" t="n"/>
      <c r="Q348" s="93" t="n"/>
      <c r="R348" s="93" t="n"/>
      <c r="S348" s="93" t="n"/>
      <c r="T348" s="93" t="n"/>
    </row>
    <row r="349" ht="12.75" customHeight="1" s="111">
      <c r="A349" s="93" t="n"/>
      <c r="B349" s="93" t="n"/>
      <c r="C349" s="93" t="n"/>
      <c r="D349" s="93" t="n"/>
      <c r="E349" s="93" t="n"/>
      <c r="F349" s="93" t="n"/>
      <c r="G349" s="93" t="n"/>
      <c r="H349" s="93" t="n"/>
      <c r="I349" s="93" t="n"/>
      <c r="J349" s="93" t="n"/>
      <c r="K349" s="93" t="n"/>
      <c r="L349" s="93" t="n"/>
      <c r="M349" s="93" t="n"/>
      <c r="N349" s="93" t="n"/>
      <c r="O349" s="93" t="n"/>
      <c r="P349" s="93" t="n"/>
      <c r="Q349" s="93" t="n"/>
      <c r="R349" s="93" t="n"/>
      <c r="S349" s="93" t="n"/>
      <c r="T349" s="93" t="n"/>
    </row>
    <row r="350" ht="12.75" customHeight="1" s="111">
      <c r="A350" s="93" t="n"/>
      <c r="B350" s="93" t="n"/>
      <c r="C350" s="93" t="n"/>
      <c r="D350" s="93" t="n"/>
      <c r="E350" s="93" t="n"/>
      <c r="F350" s="93" t="n"/>
      <c r="G350" s="93" t="n"/>
      <c r="H350" s="93" t="n"/>
      <c r="I350" s="93" t="n"/>
      <c r="J350" s="93" t="n"/>
      <c r="K350" s="93" t="n"/>
      <c r="L350" s="93" t="n"/>
      <c r="M350" s="93" t="n"/>
      <c r="N350" s="93" t="n"/>
      <c r="O350" s="93" t="n"/>
      <c r="P350" s="93" t="n"/>
      <c r="Q350" s="93" t="n"/>
      <c r="R350" s="93" t="n"/>
      <c r="S350" s="93" t="n"/>
      <c r="T350" s="93" t="n"/>
    </row>
    <row r="351" ht="12.75" customHeight="1" s="111">
      <c r="A351" s="93" t="n"/>
      <c r="B351" s="93" t="n"/>
      <c r="C351" s="93" t="n"/>
      <c r="D351" s="93" t="n"/>
      <c r="E351" s="93" t="n"/>
      <c r="F351" s="93" t="n"/>
      <c r="G351" s="93" t="n"/>
      <c r="H351" s="93" t="n"/>
      <c r="I351" s="93" t="n"/>
      <c r="J351" s="93" t="n"/>
      <c r="K351" s="93" t="n"/>
      <c r="L351" s="93" t="n"/>
      <c r="M351" s="93" t="n"/>
      <c r="N351" s="93" t="n"/>
      <c r="O351" s="93" t="n"/>
      <c r="P351" s="93" t="n"/>
      <c r="Q351" s="93" t="n"/>
      <c r="R351" s="93" t="n"/>
      <c r="S351" s="93" t="n"/>
      <c r="T351" s="93" t="n"/>
    </row>
    <row r="352" ht="12.75" customHeight="1" s="111">
      <c r="A352" s="93" t="n"/>
      <c r="B352" s="93" t="n"/>
      <c r="C352" s="93" t="n"/>
      <c r="D352" s="93" t="n"/>
      <c r="E352" s="93" t="n"/>
      <c r="F352" s="93" t="n"/>
      <c r="G352" s="93" t="n"/>
      <c r="H352" s="93" t="n"/>
      <c r="I352" s="93" t="n"/>
      <c r="J352" s="93" t="n"/>
      <c r="K352" s="93" t="n"/>
      <c r="L352" s="93" t="n"/>
      <c r="M352" s="93" t="n"/>
      <c r="N352" s="93" t="n"/>
      <c r="O352" s="93" t="n"/>
      <c r="P352" s="93" t="n"/>
      <c r="Q352" s="93" t="n"/>
      <c r="R352" s="93" t="n"/>
      <c r="S352" s="93" t="n"/>
      <c r="T352" s="93" t="n"/>
    </row>
    <row r="353" ht="12.75" customHeight="1" s="111">
      <c r="A353" s="93" t="n"/>
      <c r="B353" s="93" t="n"/>
      <c r="C353" s="93" t="n"/>
      <c r="D353" s="93" t="n"/>
      <c r="E353" s="93" t="n"/>
      <c r="F353" s="93" t="n"/>
      <c r="G353" s="93" t="n"/>
      <c r="H353" s="93" t="n"/>
      <c r="I353" s="93" t="n"/>
      <c r="J353" s="93" t="n"/>
      <c r="K353" s="93" t="n"/>
      <c r="L353" s="93" t="n"/>
      <c r="M353" s="93" t="n"/>
      <c r="N353" s="93" t="n"/>
      <c r="O353" s="93" t="n"/>
      <c r="P353" s="93" t="n"/>
      <c r="Q353" s="93" t="n"/>
      <c r="R353" s="93" t="n"/>
      <c r="S353" s="93" t="n"/>
      <c r="T353" s="93" t="n"/>
    </row>
    <row r="354" ht="12.75" customHeight="1" s="111">
      <c r="A354" s="93" t="n"/>
      <c r="B354" s="93" t="n"/>
      <c r="C354" s="93" t="n"/>
      <c r="D354" s="93" t="n"/>
      <c r="E354" s="93" t="n"/>
      <c r="F354" s="93" t="n"/>
      <c r="G354" s="93" t="n"/>
      <c r="H354" s="93" t="n"/>
      <c r="I354" s="93" t="n"/>
      <c r="J354" s="93" t="n"/>
      <c r="K354" s="93" t="n"/>
      <c r="L354" s="93" t="n"/>
      <c r="M354" s="93" t="n"/>
      <c r="N354" s="93" t="n"/>
      <c r="O354" s="93" t="n"/>
      <c r="P354" s="93" t="n"/>
      <c r="Q354" s="93" t="n"/>
      <c r="R354" s="93" t="n"/>
      <c r="S354" s="93" t="n"/>
      <c r="T354" s="93" t="n"/>
    </row>
    <row r="355" ht="12.75" customHeight="1" s="111">
      <c r="A355" s="93" t="n"/>
      <c r="B355" s="93" t="n"/>
      <c r="C355" s="93" t="n"/>
      <c r="D355" s="93" t="n"/>
      <c r="E355" s="93" t="n"/>
      <c r="F355" s="93" t="n"/>
      <c r="G355" s="93" t="n"/>
      <c r="H355" s="93" t="n"/>
      <c r="I355" s="93" t="n"/>
      <c r="J355" s="93" t="n"/>
      <c r="K355" s="93" t="n"/>
      <c r="L355" s="93" t="n"/>
      <c r="M355" s="93" t="n"/>
      <c r="N355" s="93" t="n"/>
      <c r="O355" s="93" t="n"/>
      <c r="P355" s="93" t="n"/>
      <c r="Q355" s="93" t="n"/>
      <c r="R355" s="93" t="n"/>
      <c r="S355" s="93" t="n"/>
      <c r="T355" s="93" t="n"/>
    </row>
    <row r="356" ht="12.75" customHeight="1" s="111">
      <c r="A356" s="93" t="n"/>
      <c r="B356" s="93" t="n"/>
      <c r="C356" s="93" t="n"/>
      <c r="D356" s="93" t="n"/>
      <c r="E356" s="93" t="n"/>
      <c r="F356" s="93" t="n"/>
      <c r="G356" s="93" t="n"/>
      <c r="H356" s="93" t="n"/>
      <c r="I356" s="93" t="n"/>
      <c r="J356" s="93" t="n"/>
      <c r="K356" s="93" t="n"/>
      <c r="L356" s="93" t="n"/>
      <c r="M356" s="93" t="n"/>
      <c r="N356" s="93" t="n"/>
      <c r="O356" s="93" t="n"/>
      <c r="P356" s="93" t="n"/>
      <c r="Q356" s="93" t="n"/>
      <c r="R356" s="93" t="n"/>
      <c r="S356" s="93" t="n"/>
      <c r="T356" s="93" t="n"/>
    </row>
    <row r="357" ht="12.75" customHeight="1" s="111">
      <c r="A357" s="93" t="n"/>
      <c r="B357" s="93" t="n"/>
      <c r="C357" s="93" t="n"/>
      <c r="D357" s="93" t="n"/>
      <c r="E357" s="93" t="n"/>
      <c r="F357" s="93" t="n"/>
      <c r="G357" s="93" t="n"/>
      <c r="H357" s="93" t="n"/>
      <c r="I357" s="93" t="n"/>
      <c r="J357" s="93" t="n"/>
      <c r="K357" s="93" t="n"/>
      <c r="L357" s="93" t="n"/>
      <c r="M357" s="93" t="n"/>
      <c r="N357" s="93" t="n"/>
      <c r="O357" s="93" t="n"/>
      <c r="P357" s="93" t="n"/>
      <c r="Q357" s="93" t="n"/>
      <c r="R357" s="93" t="n"/>
      <c r="S357" s="93" t="n"/>
      <c r="T357" s="93" t="n"/>
    </row>
    <row r="358" ht="12.75" customHeight="1" s="111">
      <c r="A358" s="93" t="n"/>
      <c r="B358" s="93" t="n"/>
      <c r="C358" s="93" t="n"/>
      <c r="D358" s="93" t="n"/>
      <c r="E358" s="93" t="n"/>
      <c r="F358" s="93" t="n"/>
      <c r="G358" s="93" t="n"/>
      <c r="H358" s="93" t="n"/>
      <c r="I358" s="93" t="n"/>
      <c r="J358" s="93" t="n"/>
      <c r="K358" s="93" t="n"/>
      <c r="L358" s="93" t="n"/>
      <c r="M358" s="93" t="n"/>
      <c r="N358" s="93" t="n"/>
      <c r="O358" s="93" t="n"/>
      <c r="P358" s="93" t="n"/>
      <c r="Q358" s="93" t="n"/>
      <c r="R358" s="93" t="n"/>
      <c r="S358" s="93" t="n"/>
      <c r="T358" s="93" t="n"/>
    </row>
    <row r="359" ht="12.75" customHeight="1" s="111">
      <c r="A359" s="93" t="n"/>
      <c r="B359" s="93" t="n"/>
      <c r="C359" s="93" t="n"/>
      <c r="D359" s="93" t="n"/>
      <c r="E359" s="93" t="n"/>
      <c r="F359" s="93" t="n"/>
      <c r="G359" s="93" t="n"/>
      <c r="H359" s="93" t="n"/>
      <c r="I359" s="93" t="n"/>
      <c r="J359" s="93" t="n"/>
      <c r="K359" s="93" t="n"/>
      <c r="L359" s="93" t="n"/>
      <c r="M359" s="93" t="n"/>
      <c r="N359" s="93" t="n"/>
      <c r="O359" s="93" t="n"/>
      <c r="P359" s="93" t="n"/>
      <c r="Q359" s="93" t="n"/>
      <c r="R359" s="93" t="n"/>
      <c r="S359" s="93" t="n"/>
      <c r="T359" s="93" t="n"/>
    </row>
    <row r="360" ht="12.75" customHeight="1" s="111">
      <c r="A360" s="93" t="n"/>
      <c r="B360" s="93" t="n"/>
      <c r="C360" s="93" t="n"/>
      <c r="D360" s="93" t="n"/>
      <c r="E360" s="93" t="n"/>
      <c r="F360" s="93" t="n"/>
      <c r="G360" s="93" t="n"/>
      <c r="H360" s="93" t="n"/>
      <c r="I360" s="93" t="n"/>
      <c r="J360" s="93" t="n"/>
      <c r="K360" s="93" t="n"/>
      <c r="L360" s="93" t="n"/>
      <c r="M360" s="93" t="n"/>
      <c r="N360" s="93" t="n"/>
      <c r="O360" s="93" t="n"/>
      <c r="P360" s="93" t="n"/>
      <c r="Q360" s="93" t="n"/>
      <c r="R360" s="93" t="n"/>
      <c r="S360" s="93" t="n"/>
      <c r="T360" s="93" t="n"/>
    </row>
    <row r="361" ht="12.75" customHeight="1" s="111">
      <c r="A361" s="93" t="n"/>
      <c r="B361" s="93" t="n"/>
      <c r="C361" s="93" t="n"/>
      <c r="D361" s="93" t="n"/>
      <c r="E361" s="93" t="n"/>
      <c r="F361" s="93" t="n"/>
      <c r="G361" s="93" t="n"/>
      <c r="H361" s="93" t="n"/>
      <c r="I361" s="93" t="n"/>
      <c r="J361" s="93" t="n"/>
      <c r="K361" s="93" t="n"/>
      <c r="L361" s="93" t="n"/>
      <c r="M361" s="93" t="n"/>
      <c r="N361" s="93" t="n"/>
      <c r="O361" s="93" t="n"/>
      <c r="P361" s="93" t="n"/>
      <c r="Q361" s="93" t="n"/>
      <c r="R361" s="93" t="n"/>
      <c r="S361" s="93" t="n"/>
      <c r="T361" s="93" t="n"/>
    </row>
    <row r="362" ht="12.75" customHeight="1" s="111">
      <c r="A362" s="93" t="n"/>
      <c r="B362" s="93" t="n"/>
      <c r="C362" s="93" t="n"/>
      <c r="D362" s="93" t="n"/>
      <c r="E362" s="93" t="n"/>
      <c r="F362" s="93" t="n"/>
      <c r="G362" s="93" t="n"/>
      <c r="H362" s="93" t="n"/>
      <c r="I362" s="93" t="n"/>
      <c r="J362" s="93" t="n"/>
      <c r="K362" s="93" t="n"/>
      <c r="L362" s="93" t="n"/>
      <c r="M362" s="93" t="n"/>
      <c r="N362" s="93" t="n"/>
      <c r="O362" s="93" t="n"/>
      <c r="P362" s="93" t="n"/>
      <c r="Q362" s="93" t="n"/>
      <c r="R362" s="93" t="n"/>
      <c r="S362" s="93" t="n"/>
      <c r="T362" s="93" t="n"/>
    </row>
    <row r="363" ht="12.75" customHeight="1" s="111">
      <c r="A363" s="93" t="n"/>
      <c r="B363" s="93" t="n"/>
      <c r="C363" s="93" t="n"/>
      <c r="D363" s="93" t="n"/>
      <c r="E363" s="93" t="n"/>
      <c r="F363" s="93" t="n"/>
      <c r="G363" s="93" t="n"/>
      <c r="H363" s="93" t="n"/>
      <c r="I363" s="93" t="n"/>
      <c r="J363" s="93" t="n"/>
      <c r="K363" s="93" t="n"/>
      <c r="L363" s="93" t="n"/>
      <c r="M363" s="93" t="n"/>
      <c r="N363" s="93" t="n"/>
      <c r="O363" s="93" t="n"/>
      <c r="P363" s="93" t="n"/>
      <c r="Q363" s="93" t="n"/>
      <c r="R363" s="93" t="n"/>
      <c r="S363" s="93" t="n"/>
      <c r="T363" s="93" t="n"/>
    </row>
    <row r="364" ht="12.75" customHeight="1" s="111">
      <c r="A364" s="93" t="n"/>
      <c r="B364" s="93" t="n"/>
      <c r="C364" s="93" t="n"/>
      <c r="D364" s="93" t="n"/>
      <c r="E364" s="93" t="n"/>
      <c r="F364" s="93" t="n"/>
      <c r="G364" s="93" t="n"/>
      <c r="H364" s="93" t="n"/>
      <c r="I364" s="93" t="n"/>
      <c r="J364" s="93" t="n"/>
      <c r="K364" s="93" t="n"/>
      <c r="L364" s="93" t="n"/>
      <c r="M364" s="93" t="n"/>
      <c r="N364" s="93" t="n"/>
      <c r="O364" s="93" t="n"/>
      <c r="P364" s="93" t="n"/>
      <c r="Q364" s="93" t="n"/>
      <c r="R364" s="93" t="n"/>
      <c r="S364" s="93" t="n"/>
      <c r="T364" s="93" t="n"/>
    </row>
    <row r="365" ht="12.75" customHeight="1" s="111">
      <c r="A365" s="93" t="n"/>
      <c r="B365" s="93" t="n"/>
      <c r="C365" s="93" t="n"/>
      <c r="D365" s="93" t="n"/>
      <c r="E365" s="93" t="n"/>
      <c r="F365" s="93" t="n"/>
      <c r="G365" s="93" t="n"/>
      <c r="H365" s="93" t="n"/>
      <c r="I365" s="93" t="n"/>
      <c r="J365" s="93" t="n"/>
      <c r="K365" s="93" t="n"/>
      <c r="L365" s="93" t="n"/>
      <c r="M365" s="93" t="n"/>
      <c r="N365" s="93" t="n"/>
      <c r="O365" s="93" t="n"/>
      <c r="P365" s="93" t="n"/>
      <c r="Q365" s="93" t="n"/>
      <c r="R365" s="93" t="n"/>
      <c r="S365" s="93" t="n"/>
      <c r="T365" s="93" t="n"/>
    </row>
    <row r="366" ht="12.75" customHeight="1" s="111">
      <c r="A366" s="93" t="n"/>
      <c r="B366" s="93" t="n"/>
      <c r="C366" s="93" t="n"/>
      <c r="D366" s="93" t="n"/>
      <c r="E366" s="93" t="n"/>
      <c r="F366" s="93" t="n"/>
      <c r="G366" s="93" t="n"/>
      <c r="H366" s="93" t="n"/>
      <c r="I366" s="93" t="n"/>
      <c r="J366" s="93" t="n"/>
      <c r="K366" s="93" t="n"/>
      <c r="L366" s="93" t="n"/>
      <c r="M366" s="93" t="n"/>
      <c r="N366" s="93" t="n"/>
      <c r="O366" s="93" t="n"/>
      <c r="P366" s="93" t="n"/>
      <c r="Q366" s="93" t="n"/>
      <c r="R366" s="93" t="n"/>
      <c r="S366" s="93" t="n"/>
      <c r="T366" s="93" t="n"/>
    </row>
    <row r="367" ht="12.75" customHeight="1" s="111">
      <c r="A367" s="93" t="n"/>
      <c r="B367" s="93" t="n"/>
      <c r="C367" s="93" t="n"/>
      <c r="D367" s="93" t="n"/>
      <c r="E367" s="93" t="n"/>
      <c r="F367" s="93" t="n"/>
      <c r="G367" s="93" t="n"/>
      <c r="H367" s="93" t="n"/>
      <c r="I367" s="93" t="n"/>
      <c r="J367" s="93" t="n"/>
      <c r="K367" s="93" t="n"/>
      <c r="L367" s="93" t="n"/>
      <c r="M367" s="93" t="n"/>
      <c r="N367" s="93" t="n"/>
      <c r="O367" s="93" t="n"/>
      <c r="P367" s="93" t="n"/>
      <c r="Q367" s="93" t="n"/>
      <c r="R367" s="93" t="n"/>
      <c r="S367" s="93" t="n"/>
      <c r="T367" s="93" t="n"/>
    </row>
    <row r="368" ht="12.75" customHeight="1" s="111">
      <c r="A368" s="93" t="n"/>
      <c r="B368" s="93" t="n"/>
      <c r="C368" s="93" t="n"/>
      <c r="D368" s="93" t="n"/>
      <c r="E368" s="93" t="n"/>
      <c r="F368" s="93" t="n"/>
      <c r="G368" s="93" t="n"/>
      <c r="H368" s="93" t="n"/>
      <c r="I368" s="93" t="n"/>
      <c r="J368" s="93" t="n"/>
      <c r="K368" s="93" t="n"/>
      <c r="L368" s="93" t="n"/>
      <c r="M368" s="93" t="n"/>
      <c r="N368" s="93" t="n"/>
      <c r="O368" s="93" t="n"/>
      <c r="P368" s="93" t="n"/>
      <c r="Q368" s="93" t="n"/>
      <c r="R368" s="93" t="n"/>
      <c r="S368" s="93" t="n"/>
      <c r="T368" s="93" t="n"/>
    </row>
    <row r="369" ht="12.75" customHeight="1" s="111">
      <c r="A369" s="93" t="n"/>
      <c r="B369" s="93" t="n"/>
      <c r="C369" s="93" t="n"/>
      <c r="D369" s="93" t="n"/>
      <c r="E369" s="93" t="n"/>
      <c r="F369" s="93" t="n"/>
      <c r="G369" s="93" t="n"/>
      <c r="H369" s="93" t="n"/>
      <c r="I369" s="93" t="n"/>
      <c r="J369" s="93" t="n"/>
      <c r="K369" s="93" t="n"/>
      <c r="L369" s="93" t="n"/>
      <c r="M369" s="93" t="n"/>
      <c r="N369" s="93" t="n"/>
      <c r="O369" s="93" t="n"/>
      <c r="P369" s="93" t="n"/>
      <c r="Q369" s="93" t="n"/>
      <c r="R369" s="93" t="n"/>
      <c r="S369" s="93" t="n"/>
      <c r="T369" s="93" t="n"/>
    </row>
    <row r="370" ht="12.75" customHeight="1" s="111">
      <c r="A370" s="93" t="n"/>
      <c r="B370" s="93" t="n"/>
      <c r="C370" s="93" t="n"/>
      <c r="D370" s="93" t="n"/>
      <c r="E370" s="93" t="n"/>
      <c r="F370" s="93" t="n"/>
      <c r="G370" s="93" t="n"/>
      <c r="H370" s="93" t="n"/>
      <c r="I370" s="93" t="n"/>
      <c r="J370" s="93" t="n"/>
      <c r="K370" s="93" t="n"/>
      <c r="L370" s="93" t="n"/>
      <c r="M370" s="93" t="n"/>
      <c r="N370" s="93" t="n"/>
      <c r="O370" s="93" t="n"/>
      <c r="P370" s="93" t="n"/>
      <c r="Q370" s="93" t="n"/>
      <c r="R370" s="93" t="n"/>
      <c r="S370" s="93" t="n"/>
      <c r="T370" s="93" t="n"/>
    </row>
    <row r="371" ht="12.75" customHeight="1" s="111">
      <c r="A371" s="93" t="n"/>
      <c r="B371" s="93" t="n"/>
      <c r="C371" s="93" t="n"/>
      <c r="D371" s="93" t="n"/>
      <c r="E371" s="93" t="n"/>
      <c r="F371" s="93" t="n"/>
      <c r="G371" s="93" t="n"/>
      <c r="H371" s="93" t="n"/>
      <c r="I371" s="93" t="n"/>
      <c r="J371" s="93" t="n"/>
      <c r="K371" s="93" t="n"/>
      <c r="L371" s="93" t="n"/>
      <c r="M371" s="93" t="n"/>
      <c r="N371" s="93" t="n"/>
      <c r="O371" s="93" t="n"/>
      <c r="P371" s="93" t="n"/>
      <c r="Q371" s="93" t="n"/>
      <c r="R371" s="93" t="n"/>
      <c r="S371" s="93" t="n"/>
      <c r="T371" s="93" t="n"/>
    </row>
    <row r="372" ht="12.75" customHeight="1" s="111">
      <c r="A372" s="93" t="n"/>
      <c r="B372" s="93" t="n"/>
      <c r="C372" s="93" t="n"/>
      <c r="D372" s="93" t="n"/>
      <c r="E372" s="93" t="n"/>
      <c r="F372" s="93" t="n"/>
      <c r="G372" s="93" t="n"/>
      <c r="H372" s="93" t="n"/>
      <c r="I372" s="93" t="n"/>
      <c r="J372" s="93" t="n"/>
      <c r="K372" s="93" t="n"/>
      <c r="L372" s="93" t="n"/>
      <c r="M372" s="93" t="n"/>
      <c r="N372" s="93" t="n"/>
      <c r="O372" s="93" t="n"/>
      <c r="P372" s="93" t="n"/>
      <c r="Q372" s="93" t="n"/>
      <c r="R372" s="93" t="n"/>
      <c r="S372" s="93" t="n"/>
      <c r="T372" s="93" t="n"/>
    </row>
    <row r="373" ht="12.75" customHeight="1" s="111">
      <c r="A373" s="93" t="n"/>
      <c r="B373" s="93" t="n"/>
      <c r="C373" s="93" t="n"/>
      <c r="D373" s="93" t="n"/>
      <c r="E373" s="93" t="n"/>
      <c r="F373" s="93" t="n"/>
      <c r="G373" s="93" t="n"/>
      <c r="H373" s="93" t="n"/>
      <c r="I373" s="93" t="n"/>
      <c r="J373" s="93" t="n"/>
      <c r="K373" s="93" t="n"/>
      <c r="L373" s="93" t="n"/>
      <c r="M373" s="93" t="n"/>
      <c r="N373" s="93" t="n"/>
      <c r="O373" s="93" t="n"/>
      <c r="P373" s="93" t="n"/>
      <c r="Q373" s="93" t="n"/>
      <c r="R373" s="93" t="n"/>
      <c r="S373" s="93" t="n"/>
      <c r="T373" s="93" t="n"/>
    </row>
    <row r="374" ht="12.75" customHeight="1" s="111">
      <c r="A374" s="93" t="n"/>
      <c r="B374" s="93" t="n"/>
      <c r="C374" s="93" t="n"/>
      <c r="D374" s="93" t="n"/>
      <c r="E374" s="93" t="n"/>
      <c r="F374" s="93" t="n"/>
      <c r="G374" s="93" t="n"/>
      <c r="H374" s="93" t="n"/>
      <c r="I374" s="93" t="n"/>
      <c r="J374" s="93" t="n"/>
      <c r="K374" s="93" t="n"/>
      <c r="L374" s="93" t="n"/>
      <c r="M374" s="93" t="n"/>
      <c r="N374" s="93" t="n"/>
      <c r="O374" s="93" t="n"/>
      <c r="P374" s="93" t="n"/>
      <c r="Q374" s="93" t="n"/>
      <c r="R374" s="93" t="n"/>
      <c r="S374" s="93" t="n"/>
      <c r="T374" s="93" t="n"/>
    </row>
    <row r="375" ht="12.75" customHeight="1" s="111">
      <c r="A375" s="93" t="n"/>
      <c r="B375" s="93" t="n"/>
      <c r="C375" s="93" t="n"/>
      <c r="D375" s="93" t="n"/>
      <c r="E375" s="93" t="n"/>
      <c r="F375" s="93" t="n"/>
      <c r="G375" s="93" t="n"/>
      <c r="H375" s="93" t="n"/>
      <c r="I375" s="93" t="n"/>
      <c r="J375" s="93" t="n"/>
      <c r="K375" s="93" t="n"/>
      <c r="L375" s="93" t="n"/>
      <c r="M375" s="93" t="n"/>
      <c r="N375" s="93" t="n"/>
      <c r="O375" s="93" t="n"/>
      <c r="P375" s="93" t="n"/>
      <c r="Q375" s="93" t="n"/>
      <c r="R375" s="93" t="n"/>
      <c r="S375" s="93" t="n"/>
      <c r="T375" s="93" t="n"/>
    </row>
    <row r="376" ht="12.75" customHeight="1" s="111">
      <c r="A376" s="93" t="n"/>
      <c r="B376" s="93" t="n"/>
      <c r="C376" s="93" t="n"/>
      <c r="D376" s="93" t="n"/>
      <c r="E376" s="93" t="n"/>
      <c r="F376" s="93" t="n"/>
      <c r="G376" s="93" t="n"/>
      <c r="H376" s="93" t="n"/>
      <c r="I376" s="93" t="n"/>
      <c r="J376" s="93" t="n"/>
      <c r="K376" s="93" t="n"/>
      <c r="L376" s="93" t="n"/>
      <c r="M376" s="93" t="n"/>
      <c r="N376" s="93" t="n"/>
      <c r="O376" s="93" t="n"/>
      <c r="P376" s="93" t="n"/>
      <c r="Q376" s="93" t="n"/>
      <c r="R376" s="93" t="n"/>
      <c r="S376" s="93" t="n"/>
      <c r="T376" s="93" t="n"/>
    </row>
    <row r="377" ht="12.75" customHeight="1" s="111">
      <c r="A377" s="93" t="n"/>
      <c r="B377" s="93" t="n"/>
      <c r="C377" s="93" t="n"/>
      <c r="D377" s="93" t="n"/>
      <c r="E377" s="93" t="n"/>
      <c r="F377" s="93" t="n"/>
      <c r="G377" s="93" t="n"/>
      <c r="H377" s="93" t="n"/>
      <c r="I377" s="93" t="n"/>
      <c r="J377" s="93" t="n"/>
      <c r="K377" s="93" t="n"/>
      <c r="L377" s="93" t="n"/>
      <c r="M377" s="93" t="n"/>
      <c r="N377" s="93" t="n"/>
      <c r="O377" s="93" t="n"/>
      <c r="P377" s="93" t="n"/>
      <c r="Q377" s="93" t="n"/>
      <c r="R377" s="93" t="n"/>
      <c r="S377" s="93" t="n"/>
      <c r="T377" s="93" t="n"/>
    </row>
    <row r="378" ht="12.75" customHeight="1" s="111">
      <c r="A378" s="93" t="n"/>
      <c r="B378" s="93" t="n"/>
      <c r="C378" s="93" t="n"/>
      <c r="D378" s="93" t="n"/>
      <c r="E378" s="93" t="n"/>
      <c r="F378" s="93" t="n"/>
      <c r="G378" s="93" t="n"/>
      <c r="H378" s="93" t="n"/>
      <c r="I378" s="93" t="n"/>
      <c r="J378" s="93" t="n"/>
      <c r="K378" s="93" t="n"/>
      <c r="L378" s="93" t="n"/>
      <c r="M378" s="93" t="n"/>
      <c r="N378" s="93" t="n"/>
      <c r="O378" s="93" t="n"/>
      <c r="P378" s="93" t="n"/>
      <c r="Q378" s="93" t="n"/>
      <c r="R378" s="93" t="n"/>
      <c r="S378" s="93" t="n"/>
      <c r="T378" s="93" t="n"/>
    </row>
    <row r="379" ht="12.75" customHeight="1" s="111">
      <c r="A379" s="93" t="n"/>
      <c r="B379" s="93" t="n"/>
      <c r="C379" s="93" t="n"/>
      <c r="D379" s="93" t="n"/>
      <c r="E379" s="93" t="n"/>
      <c r="F379" s="93" t="n"/>
      <c r="G379" s="93" t="n"/>
      <c r="H379" s="93" t="n"/>
      <c r="I379" s="93" t="n"/>
      <c r="J379" s="93" t="n"/>
      <c r="K379" s="93" t="n"/>
      <c r="L379" s="93" t="n"/>
      <c r="M379" s="93" t="n"/>
      <c r="N379" s="93" t="n"/>
      <c r="O379" s="93" t="n"/>
      <c r="P379" s="93" t="n"/>
      <c r="Q379" s="93" t="n"/>
      <c r="R379" s="93" t="n"/>
      <c r="S379" s="93" t="n"/>
      <c r="T379" s="93" t="n"/>
    </row>
    <row r="380" ht="12.75" customHeight="1" s="111">
      <c r="A380" s="93" t="n"/>
      <c r="B380" s="93" t="n"/>
      <c r="C380" s="93" t="n"/>
      <c r="D380" s="93" t="n"/>
      <c r="E380" s="93" t="n"/>
      <c r="F380" s="93" t="n"/>
      <c r="G380" s="93" t="n"/>
      <c r="H380" s="93" t="n"/>
      <c r="I380" s="93" t="n"/>
      <c r="J380" s="93" t="n"/>
      <c r="K380" s="93" t="n"/>
      <c r="L380" s="93" t="n"/>
      <c r="M380" s="93" t="n"/>
      <c r="N380" s="93" t="n"/>
      <c r="O380" s="93" t="n"/>
      <c r="P380" s="93" t="n"/>
      <c r="Q380" s="93" t="n"/>
      <c r="R380" s="93" t="n"/>
      <c r="S380" s="93" t="n"/>
      <c r="T380" s="93" t="n"/>
    </row>
    <row r="381" ht="12.75" customHeight="1" s="111">
      <c r="A381" s="93" t="n"/>
      <c r="B381" s="93" t="n"/>
      <c r="C381" s="93" t="n"/>
      <c r="D381" s="93" t="n"/>
      <c r="E381" s="93" t="n"/>
      <c r="F381" s="93" t="n"/>
      <c r="G381" s="93" t="n"/>
      <c r="H381" s="93" t="n"/>
      <c r="I381" s="93" t="n"/>
      <c r="J381" s="93" t="n"/>
      <c r="K381" s="93" t="n"/>
      <c r="L381" s="93" t="n"/>
      <c r="M381" s="93" t="n"/>
      <c r="N381" s="93" t="n"/>
      <c r="O381" s="93" t="n"/>
      <c r="P381" s="93" t="n"/>
      <c r="Q381" s="93" t="n"/>
      <c r="R381" s="93" t="n"/>
      <c r="S381" s="93" t="n"/>
      <c r="T381" s="93" t="n"/>
    </row>
    <row r="382" ht="12.75" customHeight="1" s="111">
      <c r="A382" s="93" t="n"/>
      <c r="B382" s="93" t="n"/>
      <c r="C382" s="93" t="n"/>
      <c r="D382" s="93" t="n"/>
      <c r="E382" s="93" t="n"/>
      <c r="F382" s="93" t="n"/>
      <c r="G382" s="93" t="n"/>
      <c r="H382" s="93" t="n"/>
      <c r="I382" s="93" t="n"/>
      <c r="J382" s="93" t="n"/>
      <c r="K382" s="93" t="n"/>
      <c r="L382" s="93" t="n"/>
      <c r="M382" s="93" t="n"/>
      <c r="N382" s="93" t="n"/>
      <c r="O382" s="93" t="n"/>
      <c r="P382" s="93" t="n"/>
      <c r="Q382" s="93" t="n"/>
      <c r="R382" s="93" t="n"/>
      <c r="S382" s="93" t="n"/>
      <c r="T382" s="93" t="n"/>
    </row>
    <row r="383" ht="12.75" customHeight="1" s="111">
      <c r="A383" s="93" t="n"/>
      <c r="B383" s="93" t="n"/>
      <c r="C383" s="93" t="n"/>
      <c r="D383" s="93" t="n"/>
      <c r="E383" s="93" t="n"/>
      <c r="F383" s="93" t="n"/>
      <c r="G383" s="93" t="n"/>
      <c r="H383" s="93" t="n"/>
      <c r="I383" s="93" t="n"/>
      <c r="J383" s="93" t="n"/>
      <c r="K383" s="93" t="n"/>
      <c r="L383" s="93" t="n"/>
      <c r="M383" s="93" t="n"/>
      <c r="N383" s="93" t="n"/>
      <c r="O383" s="93" t="n"/>
      <c r="P383" s="93" t="n"/>
      <c r="Q383" s="93" t="n"/>
      <c r="R383" s="93" t="n"/>
      <c r="S383" s="93" t="n"/>
      <c r="T383" s="93" t="n"/>
    </row>
    <row r="384" ht="12.75" customHeight="1" s="111">
      <c r="A384" s="93" t="n"/>
      <c r="B384" s="93" t="n"/>
      <c r="C384" s="93" t="n"/>
      <c r="D384" s="93" t="n"/>
      <c r="E384" s="93" t="n"/>
      <c r="F384" s="93" t="n"/>
      <c r="G384" s="93" t="n"/>
      <c r="H384" s="93" t="n"/>
      <c r="I384" s="93" t="n"/>
      <c r="J384" s="93" t="n"/>
      <c r="K384" s="93" t="n"/>
      <c r="L384" s="93" t="n"/>
      <c r="M384" s="93" t="n"/>
      <c r="N384" s="93" t="n"/>
      <c r="O384" s="93" t="n"/>
      <c r="P384" s="93" t="n"/>
      <c r="Q384" s="93" t="n"/>
      <c r="R384" s="93" t="n"/>
      <c r="S384" s="93" t="n"/>
      <c r="T384" s="93" t="n"/>
    </row>
    <row r="385" ht="12.75" customHeight="1" s="111">
      <c r="A385" s="93" t="n"/>
      <c r="B385" s="93" t="n"/>
      <c r="C385" s="93" t="n"/>
      <c r="D385" s="93" t="n"/>
      <c r="E385" s="93" t="n"/>
      <c r="F385" s="93" t="n"/>
      <c r="G385" s="93" t="n"/>
      <c r="H385" s="93" t="n"/>
      <c r="I385" s="93" t="n"/>
      <c r="J385" s="93" t="n"/>
      <c r="K385" s="93" t="n"/>
      <c r="L385" s="93" t="n"/>
      <c r="M385" s="93" t="n"/>
      <c r="N385" s="93" t="n"/>
      <c r="O385" s="93" t="n"/>
      <c r="P385" s="93" t="n"/>
      <c r="Q385" s="93" t="n"/>
      <c r="R385" s="93" t="n"/>
      <c r="S385" s="93" t="n"/>
      <c r="T385" s="93" t="n"/>
    </row>
    <row r="386" ht="12.75" customHeight="1" s="111">
      <c r="A386" s="93" t="n"/>
      <c r="B386" s="93" t="n"/>
      <c r="C386" s="93" t="n"/>
      <c r="D386" s="93" t="n"/>
      <c r="E386" s="93" t="n"/>
      <c r="F386" s="93" t="n"/>
      <c r="G386" s="93" t="n"/>
      <c r="H386" s="93" t="n"/>
      <c r="I386" s="93" t="n"/>
      <c r="J386" s="93" t="n"/>
      <c r="K386" s="93" t="n"/>
      <c r="L386" s="93" t="n"/>
      <c r="M386" s="93" t="n"/>
      <c r="N386" s="93" t="n"/>
      <c r="O386" s="93" t="n"/>
      <c r="P386" s="93" t="n"/>
      <c r="Q386" s="93" t="n"/>
      <c r="R386" s="93" t="n"/>
      <c r="S386" s="93" t="n"/>
      <c r="T386" s="93" t="n"/>
    </row>
    <row r="387" ht="12.75" customHeight="1" s="111">
      <c r="A387" s="93" t="n"/>
      <c r="B387" s="93" t="n"/>
      <c r="C387" s="93" t="n"/>
      <c r="D387" s="93" t="n"/>
      <c r="E387" s="93" t="n"/>
      <c r="F387" s="93" t="n"/>
      <c r="G387" s="93" t="n"/>
      <c r="H387" s="93" t="n"/>
      <c r="I387" s="93" t="n"/>
      <c r="J387" s="93" t="n"/>
      <c r="K387" s="93" t="n"/>
      <c r="L387" s="93" t="n"/>
      <c r="M387" s="93" t="n"/>
      <c r="N387" s="93" t="n"/>
      <c r="O387" s="93" t="n"/>
      <c r="P387" s="93" t="n"/>
      <c r="Q387" s="93" t="n"/>
      <c r="R387" s="93" t="n"/>
      <c r="S387" s="93" t="n"/>
      <c r="T387" s="93" t="n"/>
    </row>
    <row r="388" ht="12.75" customHeight="1" s="111">
      <c r="A388" s="93" t="n"/>
      <c r="B388" s="93" t="n"/>
      <c r="C388" s="93" t="n"/>
      <c r="D388" s="93" t="n"/>
      <c r="E388" s="93" t="n"/>
      <c r="F388" s="93" t="n"/>
      <c r="G388" s="93" t="n"/>
      <c r="H388" s="93" t="n"/>
      <c r="I388" s="93" t="n"/>
      <c r="J388" s="93" t="n"/>
      <c r="K388" s="93" t="n"/>
      <c r="L388" s="93" t="n"/>
      <c r="M388" s="93" t="n"/>
      <c r="N388" s="93" t="n"/>
      <c r="O388" s="93" t="n"/>
      <c r="P388" s="93" t="n"/>
      <c r="Q388" s="93" t="n"/>
      <c r="R388" s="93" t="n"/>
      <c r="S388" s="93" t="n"/>
      <c r="T388" s="93" t="n"/>
    </row>
    <row r="389" ht="12.75" customHeight="1" s="111">
      <c r="A389" s="93" t="n"/>
      <c r="B389" s="93" t="n"/>
      <c r="C389" s="93" t="n"/>
      <c r="D389" s="93" t="n"/>
      <c r="E389" s="93" t="n"/>
      <c r="F389" s="93" t="n"/>
      <c r="G389" s="93" t="n"/>
      <c r="H389" s="93" t="n"/>
      <c r="I389" s="93" t="n"/>
      <c r="J389" s="93" t="n"/>
      <c r="K389" s="93" t="n"/>
      <c r="L389" s="93" t="n"/>
      <c r="M389" s="93" t="n"/>
      <c r="N389" s="93" t="n"/>
      <c r="O389" s="93" t="n"/>
      <c r="P389" s="93" t="n"/>
      <c r="Q389" s="93" t="n"/>
      <c r="R389" s="93" t="n"/>
      <c r="S389" s="93" t="n"/>
      <c r="T389" s="93" t="n"/>
    </row>
    <row r="390" ht="12.75" customHeight="1" s="111">
      <c r="A390" s="93" t="n"/>
      <c r="B390" s="93" t="n"/>
      <c r="C390" s="93" t="n"/>
      <c r="D390" s="93" t="n"/>
      <c r="E390" s="93" t="n"/>
      <c r="F390" s="93" t="n"/>
      <c r="G390" s="93" t="n"/>
      <c r="H390" s="93" t="n"/>
      <c r="I390" s="93" t="n"/>
      <c r="J390" s="93" t="n"/>
      <c r="K390" s="93" t="n"/>
      <c r="L390" s="93" t="n"/>
      <c r="M390" s="93" t="n"/>
      <c r="N390" s="93" t="n"/>
      <c r="O390" s="93" t="n"/>
      <c r="P390" s="93" t="n"/>
      <c r="Q390" s="93" t="n"/>
      <c r="R390" s="93" t="n"/>
      <c r="S390" s="93" t="n"/>
      <c r="T390" s="93" t="n"/>
    </row>
    <row r="391" ht="12.75" customHeight="1" s="111">
      <c r="A391" s="93" t="n"/>
      <c r="B391" s="93" t="n"/>
      <c r="C391" s="93" t="n"/>
      <c r="D391" s="93" t="n"/>
      <c r="E391" s="93" t="n"/>
      <c r="F391" s="93" t="n"/>
      <c r="G391" s="93" t="n"/>
      <c r="H391" s="93" t="n"/>
      <c r="I391" s="93" t="n"/>
      <c r="J391" s="93" t="n"/>
      <c r="K391" s="93" t="n"/>
      <c r="L391" s="93" t="n"/>
      <c r="M391" s="93" t="n"/>
      <c r="N391" s="93" t="n"/>
      <c r="O391" s="93" t="n"/>
      <c r="P391" s="93" t="n"/>
      <c r="Q391" s="93" t="n"/>
      <c r="R391" s="93" t="n"/>
      <c r="S391" s="93" t="n"/>
      <c r="T391" s="93" t="n"/>
    </row>
    <row r="392" ht="12.75" customHeight="1" s="111">
      <c r="A392" s="93" t="n"/>
      <c r="B392" s="93" t="n"/>
      <c r="C392" s="93" t="n"/>
      <c r="D392" s="93" t="n"/>
      <c r="E392" s="93" t="n"/>
      <c r="F392" s="93" t="n"/>
      <c r="G392" s="93" t="n"/>
      <c r="H392" s="93" t="n"/>
      <c r="I392" s="93" t="n"/>
      <c r="J392" s="93" t="n"/>
      <c r="K392" s="93" t="n"/>
      <c r="L392" s="93" t="n"/>
      <c r="M392" s="93" t="n"/>
      <c r="N392" s="93" t="n"/>
      <c r="O392" s="93" t="n"/>
      <c r="P392" s="93" t="n"/>
      <c r="Q392" s="93" t="n"/>
      <c r="R392" s="93" t="n"/>
      <c r="S392" s="93" t="n"/>
      <c r="T392" s="93" t="n"/>
    </row>
    <row r="393" ht="12.75" customHeight="1" s="111">
      <c r="A393" s="93" t="n"/>
      <c r="B393" s="93" t="n"/>
      <c r="C393" s="93" t="n"/>
      <c r="D393" s="93" t="n"/>
      <c r="E393" s="93" t="n"/>
      <c r="F393" s="93" t="n"/>
      <c r="G393" s="93" t="n"/>
      <c r="H393" s="93" t="n"/>
      <c r="I393" s="93" t="n"/>
      <c r="J393" s="93" t="n"/>
      <c r="K393" s="93" t="n"/>
      <c r="L393" s="93" t="n"/>
      <c r="M393" s="93" t="n"/>
      <c r="N393" s="93" t="n"/>
      <c r="O393" s="93" t="n"/>
      <c r="P393" s="93" t="n"/>
      <c r="Q393" s="93" t="n"/>
      <c r="R393" s="93" t="n"/>
      <c r="S393" s="93" t="n"/>
      <c r="T393" s="93" t="n"/>
    </row>
    <row r="394" ht="12.75" customHeight="1" s="111">
      <c r="A394" s="93" t="n"/>
      <c r="B394" s="93" t="n"/>
      <c r="C394" s="93" t="n"/>
      <c r="D394" s="93" t="n"/>
      <c r="E394" s="93" t="n"/>
      <c r="F394" s="93" t="n"/>
      <c r="G394" s="93" t="n"/>
      <c r="H394" s="93" t="n"/>
      <c r="I394" s="93" t="n"/>
      <c r="J394" s="93" t="n"/>
      <c r="K394" s="93" t="n"/>
      <c r="L394" s="93" t="n"/>
      <c r="M394" s="93" t="n"/>
      <c r="N394" s="93" t="n"/>
      <c r="O394" s="93" t="n"/>
      <c r="P394" s="93" t="n"/>
      <c r="Q394" s="93" t="n"/>
      <c r="R394" s="93" t="n"/>
      <c r="S394" s="93" t="n"/>
      <c r="T394" s="93" t="n"/>
    </row>
    <row r="395" ht="12.75" customHeight="1" s="111">
      <c r="A395" s="93" t="n"/>
      <c r="B395" s="93" t="n"/>
      <c r="C395" s="93" t="n"/>
      <c r="D395" s="93" t="n"/>
      <c r="E395" s="93" t="n"/>
      <c r="F395" s="93" t="n"/>
      <c r="G395" s="93" t="n"/>
      <c r="H395" s="93" t="n"/>
      <c r="I395" s="93" t="n"/>
      <c r="J395" s="93" t="n"/>
      <c r="K395" s="93" t="n"/>
      <c r="L395" s="93" t="n"/>
      <c r="M395" s="93" t="n"/>
      <c r="N395" s="93" t="n"/>
      <c r="O395" s="93" t="n"/>
      <c r="P395" s="93" t="n"/>
      <c r="Q395" s="93" t="n"/>
      <c r="R395" s="93" t="n"/>
      <c r="S395" s="93" t="n"/>
      <c r="T395" s="93" t="n"/>
    </row>
    <row r="396" ht="12.75" customHeight="1" s="111">
      <c r="A396" s="93" t="n"/>
      <c r="B396" s="93" t="n"/>
      <c r="C396" s="93" t="n"/>
      <c r="D396" s="93" t="n"/>
      <c r="E396" s="93" t="n"/>
      <c r="F396" s="93" t="n"/>
      <c r="G396" s="93" t="n"/>
      <c r="H396" s="93" t="n"/>
      <c r="I396" s="93" t="n"/>
      <c r="J396" s="93" t="n"/>
      <c r="K396" s="93" t="n"/>
      <c r="L396" s="93" t="n"/>
      <c r="M396" s="93" t="n"/>
      <c r="N396" s="93" t="n"/>
      <c r="O396" s="93" t="n"/>
      <c r="P396" s="93" t="n"/>
      <c r="Q396" s="93" t="n"/>
      <c r="R396" s="93" t="n"/>
      <c r="S396" s="93" t="n"/>
      <c r="T396" s="93" t="n"/>
    </row>
    <row r="397" ht="12.75" customHeight="1" s="111">
      <c r="A397" s="93" t="n"/>
      <c r="B397" s="93" t="n"/>
      <c r="C397" s="93" t="n"/>
      <c r="D397" s="93" t="n"/>
      <c r="E397" s="93" t="n"/>
      <c r="F397" s="93" t="n"/>
      <c r="G397" s="93" t="n"/>
      <c r="H397" s="93" t="n"/>
      <c r="I397" s="93" t="n"/>
      <c r="J397" s="93" t="n"/>
      <c r="K397" s="93" t="n"/>
      <c r="L397" s="93" t="n"/>
      <c r="M397" s="93" t="n"/>
      <c r="N397" s="93" t="n"/>
      <c r="O397" s="93" t="n"/>
      <c r="P397" s="93" t="n"/>
      <c r="Q397" s="93" t="n"/>
      <c r="R397" s="93" t="n"/>
      <c r="S397" s="93" t="n"/>
      <c r="T397" s="93" t="n"/>
    </row>
    <row r="398" ht="12.75" customHeight="1" s="111">
      <c r="A398" s="93" t="n"/>
      <c r="B398" s="93" t="n"/>
      <c r="C398" s="93" t="n"/>
      <c r="D398" s="93" t="n"/>
      <c r="E398" s="93" t="n"/>
      <c r="F398" s="93" t="n"/>
      <c r="G398" s="93" t="n"/>
      <c r="H398" s="93" t="n"/>
      <c r="I398" s="93" t="n"/>
      <c r="J398" s="93" t="n"/>
      <c r="K398" s="93" t="n"/>
      <c r="L398" s="93" t="n"/>
      <c r="M398" s="93" t="n"/>
      <c r="N398" s="93" t="n"/>
      <c r="O398" s="93" t="n"/>
      <c r="P398" s="93" t="n"/>
      <c r="Q398" s="93" t="n"/>
      <c r="R398" s="93" t="n"/>
      <c r="S398" s="93" t="n"/>
      <c r="T398" s="93" t="n"/>
    </row>
    <row r="399" ht="12.75" customHeight="1" s="111">
      <c r="A399" s="93" t="n"/>
      <c r="B399" s="93" t="n"/>
      <c r="C399" s="93" t="n"/>
      <c r="D399" s="93" t="n"/>
      <c r="E399" s="93" t="n"/>
      <c r="F399" s="93" t="n"/>
      <c r="G399" s="93" t="n"/>
      <c r="H399" s="93" t="n"/>
      <c r="I399" s="93" t="n"/>
      <c r="J399" s="93" t="n"/>
      <c r="K399" s="93" t="n"/>
      <c r="L399" s="93" t="n"/>
      <c r="M399" s="93" t="n"/>
      <c r="N399" s="93" t="n"/>
      <c r="O399" s="93" t="n"/>
      <c r="P399" s="93" t="n"/>
      <c r="Q399" s="93" t="n"/>
      <c r="R399" s="93" t="n"/>
      <c r="S399" s="93" t="n"/>
      <c r="T399" s="93" t="n"/>
    </row>
    <row r="400" ht="12.75" customHeight="1" s="111">
      <c r="A400" s="93" t="n"/>
      <c r="B400" s="93" t="n"/>
      <c r="C400" s="93" t="n"/>
      <c r="D400" s="93" t="n"/>
      <c r="E400" s="93" t="n"/>
      <c r="F400" s="93" t="n"/>
      <c r="G400" s="93" t="n"/>
      <c r="H400" s="93" t="n"/>
      <c r="I400" s="93" t="n"/>
      <c r="J400" s="93" t="n"/>
      <c r="K400" s="93" t="n"/>
      <c r="L400" s="93" t="n"/>
      <c r="M400" s="93" t="n"/>
      <c r="N400" s="93" t="n"/>
      <c r="O400" s="93" t="n"/>
      <c r="P400" s="93" t="n"/>
      <c r="Q400" s="93" t="n"/>
      <c r="R400" s="93" t="n"/>
      <c r="S400" s="93" t="n"/>
      <c r="T400" s="93" t="n"/>
    </row>
    <row r="401" ht="12.75" customHeight="1" s="111">
      <c r="A401" s="93" t="n"/>
      <c r="B401" s="93" t="n"/>
      <c r="C401" s="93" t="n"/>
      <c r="D401" s="93" t="n"/>
      <c r="E401" s="93" t="n"/>
      <c r="F401" s="93" t="n"/>
      <c r="G401" s="93" t="n"/>
      <c r="H401" s="93" t="n"/>
      <c r="I401" s="93" t="n"/>
      <c r="J401" s="93" t="n"/>
      <c r="K401" s="93" t="n"/>
      <c r="L401" s="93" t="n"/>
      <c r="M401" s="93" t="n"/>
      <c r="N401" s="93" t="n"/>
      <c r="O401" s="93" t="n"/>
      <c r="P401" s="93" t="n"/>
      <c r="Q401" s="93" t="n"/>
      <c r="R401" s="93" t="n"/>
      <c r="S401" s="93" t="n"/>
      <c r="T401" s="93" t="n"/>
    </row>
    <row r="402" ht="12.75" customHeight="1" s="111">
      <c r="A402" s="93" t="n"/>
      <c r="B402" s="93" t="n"/>
      <c r="C402" s="93" t="n"/>
      <c r="D402" s="93" t="n"/>
      <c r="E402" s="93" t="n"/>
      <c r="F402" s="93" t="n"/>
      <c r="G402" s="93" t="n"/>
      <c r="H402" s="93" t="n"/>
      <c r="I402" s="93" t="n"/>
      <c r="J402" s="93" t="n"/>
      <c r="K402" s="93" t="n"/>
      <c r="L402" s="93" t="n"/>
      <c r="M402" s="93" t="n"/>
      <c r="N402" s="93" t="n"/>
      <c r="O402" s="93" t="n"/>
      <c r="P402" s="93" t="n"/>
      <c r="Q402" s="93" t="n"/>
      <c r="R402" s="93" t="n"/>
      <c r="S402" s="93" t="n"/>
      <c r="T402" s="93" t="n"/>
    </row>
    <row r="403" ht="12.75" customHeight="1" s="111">
      <c r="A403" s="93" t="n"/>
      <c r="B403" s="93" t="n"/>
      <c r="C403" s="93" t="n"/>
      <c r="D403" s="93" t="n"/>
      <c r="E403" s="93" t="n"/>
      <c r="F403" s="93" t="n"/>
      <c r="G403" s="93" t="n"/>
      <c r="H403" s="93" t="n"/>
      <c r="I403" s="93" t="n"/>
      <c r="J403" s="93" t="n"/>
      <c r="K403" s="93" t="n"/>
      <c r="L403" s="93" t="n"/>
      <c r="M403" s="93" t="n"/>
      <c r="N403" s="93" t="n"/>
      <c r="O403" s="93" t="n"/>
      <c r="P403" s="93" t="n"/>
      <c r="Q403" s="93" t="n"/>
      <c r="R403" s="93" t="n"/>
      <c r="S403" s="93" t="n"/>
      <c r="T403" s="93" t="n"/>
    </row>
    <row r="404" ht="12.75" customHeight="1" s="111">
      <c r="A404" s="93" t="n"/>
      <c r="B404" s="93" t="n"/>
      <c r="C404" s="93" t="n"/>
      <c r="D404" s="93" t="n"/>
      <c r="E404" s="93" t="n"/>
      <c r="F404" s="93" t="n"/>
      <c r="G404" s="93" t="n"/>
      <c r="H404" s="93" t="n"/>
      <c r="I404" s="93" t="n"/>
      <c r="J404" s="93" t="n"/>
      <c r="K404" s="93" t="n"/>
      <c r="L404" s="93" t="n"/>
      <c r="M404" s="93" t="n"/>
      <c r="N404" s="93" t="n"/>
      <c r="O404" s="93" t="n"/>
      <c r="P404" s="93" t="n"/>
      <c r="Q404" s="93" t="n"/>
      <c r="R404" s="93" t="n"/>
      <c r="S404" s="93" t="n"/>
      <c r="T404" s="93" t="n"/>
    </row>
    <row r="405" ht="12.75" customHeight="1" s="111">
      <c r="A405" s="93" t="n"/>
      <c r="B405" s="93" t="n"/>
      <c r="C405" s="93" t="n"/>
      <c r="D405" s="93" t="n"/>
      <c r="E405" s="93" t="n"/>
      <c r="F405" s="93" t="n"/>
      <c r="G405" s="93" t="n"/>
      <c r="H405" s="93" t="n"/>
      <c r="I405" s="93" t="n"/>
      <c r="J405" s="93" t="n"/>
      <c r="K405" s="93" t="n"/>
      <c r="L405" s="93" t="n"/>
      <c r="M405" s="93" t="n"/>
      <c r="N405" s="93" t="n"/>
      <c r="O405" s="93" t="n"/>
      <c r="P405" s="93" t="n"/>
      <c r="Q405" s="93" t="n"/>
      <c r="R405" s="93" t="n"/>
      <c r="S405" s="93" t="n"/>
      <c r="T405" s="93" t="n"/>
    </row>
    <row r="406" ht="12.75" customHeight="1" s="111">
      <c r="A406" s="93" t="n"/>
      <c r="B406" s="93" t="n"/>
      <c r="C406" s="93" t="n"/>
      <c r="D406" s="93" t="n"/>
      <c r="E406" s="93" t="n"/>
      <c r="F406" s="93" t="n"/>
      <c r="G406" s="93" t="n"/>
      <c r="H406" s="93" t="n"/>
      <c r="I406" s="93" t="n"/>
      <c r="J406" s="93" t="n"/>
      <c r="K406" s="93" t="n"/>
      <c r="L406" s="93" t="n"/>
      <c r="M406" s="93" t="n"/>
      <c r="N406" s="93" t="n"/>
      <c r="O406" s="93" t="n"/>
      <c r="P406" s="93" t="n"/>
      <c r="Q406" s="93" t="n"/>
      <c r="R406" s="93" t="n"/>
      <c r="S406" s="93" t="n"/>
      <c r="T406" s="93" t="n"/>
    </row>
    <row r="407" ht="12.75" customHeight="1" s="111">
      <c r="A407" s="93" t="n"/>
      <c r="B407" s="93" t="n"/>
      <c r="C407" s="93" t="n"/>
      <c r="D407" s="93" t="n"/>
      <c r="E407" s="93" t="n"/>
      <c r="F407" s="93" t="n"/>
      <c r="G407" s="93" t="n"/>
      <c r="H407" s="93" t="n"/>
      <c r="I407" s="93" t="n"/>
      <c r="J407" s="93" t="n"/>
      <c r="K407" s="93" t="n"/>
      <c r="L407" s="93" t="n"/>
      <c r="M407" s="93" t="n"/>
      <c r="N407" s="93" t="n"/>
      <c r="O407" s="93" t="n"/>
      <c r="P407" s="93" t="n"/>
      <c r="Q407" s="93" t="n"/>
      <c r="R407" s="93" t="n"/>
      <c r="S407" s="93" t="n"/>
      <c r="T407" s="93" t="n"/>
    </row>
    <row r="408" ht="12.75" customHeight="1" s="111">
      <c r="A408" s="93" t="n"/>
      <c r="B408" s="93" t="n"/>
      <c r="C408" s="93" t="n"/>
      <c r="D408" s="93" t="n"/>
      <c r="E408" s="93" t="n"/>
      <c r="F408" s="93" t="n"/>
      <c r="G408" s="93" t="n"/>
      <c r="H408" s="93" t="n"/>
      <c r="I408" s="93" t="n"/>
      <c r="J408" s="93" t="n"/>
      <c r="K408" s="93" t="n"/>
      <c r="L408" s="93" t="n"/>
      <c r="M408" s="93" t="n"/>
      <c r="N408" s="93" t="n"/>
      <c r="O408" s="93" t="n"/>
      <c r="P408" s="93" t="n"/>
      <c r="Q408" s="93" t="n"/>
      <c r="R408" s="93" t="n"/>
      <c r="S408" s="93" t="n"/>
      <c r="T408" s="93" t="n"/>
    </row>
    <row r="409" ht="12.75" customHeight="1" s="111">
      <c r="A409" s="93" t="n"/>
      <c r="B409" s="93" t="n"/>
      <c r="C409" s="93" t="n"/>
      <c r="D409" s="93" t="n"/>
      <c r="E409" s="93" t="n"/>
      <c r="F409" s="93" t="n"/>
      <c r="G409" s="93" t="n"/>
      <c r="H409" s="93" t="n"/>
      <c r="I409" s="93" t="n"/>
      <c r="J409" s="93" t="n"/>
      <c r="K409" s="93" t="n"/>
      <c r="L409" s="93" t="n"/>
      <c r="M409" s="93" t="n"/>
      <c r="N409" s="93" t="n"/>
      <c r="O409" s="93" t="n"/>
      <c r="P409" s="93" t="n"/>
      <c r="Q409" s="93" t="n"/>
      <c r="R409" s="93" t="n"/>
      <c r="S409" s="93" t="n"/>
      <c r="T409" s="93" t="n"/>
    </row>
    <row r="410" ht="12.75" customHeight="1" s="111">
      <c r="A410" s="93" t="n"/>
      <c r="B410" s="93" t="n"/>
      <c r="C410" s="93" t="n"/>
      <c r="D410" s="93" t="n"/>
      <c r="E410" s="93" t="n"/>
      <c r="F410" s="93" t="n"/>
      <c r="G410" s="93" t="n"/>
      <c r="H410" s="93" t="n"/>
      <c r="I410" s="93" t="n"/>
      <c r="J410" s="93" t="n"/>
      <c r="K410" s="93" t="n"/>
      <c r="L410" s="93" t="n"/>
      <c r="M410" s="93" t="n"/>
      <c r="N410" s="93" t="n"/>
      <c r="O410" s="93" t="n"/>
      <c r="P410" s="93" t="n"/>
      <c r="Q410" s="93" t="n"/>
      <c r="R410" s="93" t="n"/>
      <c r="S410" s="93" t="n"/>
      <c r="T410" s="93" t="n"/>
    </row>
    <row r="411" ht="12.75" customHeight="1" s="111">
      <c r="A411" s="93" t="n"/>
      <c r="B411" s="93" t="n"/>
      <c r="C411" s="93" t="n"/>
      <c r="D411" s="93" t="n"/>
      <c r="E411" s="93" t="n"/>
      <c r="F411" s="93" t="n"/>
      <c r="G411" s="93" t="n"/>
      <c r="H411" s="93" t="n"/>
      <c r="I411" s="93" t="n"/>
      <c r="J411" s="93" t="n"/>
      <c r="K411" s="93" t="n"/>
      <c r="L411" s="93" t="n"/>
      <c r="M411" s="93" t="n"/>
      <c r="N411" s="93" t="n"/>
      <c r="O411" s="93" t="n"/>
      <c r="P411" s="93" t="n"/>
      <c r="Q411" s="93" t="n"/>
      <c r="R411" s="93" t="n"/>
      <c r="S411" s="93" t="n"/>
      <c r="T411" s="93" t="n"/>
    </row>
    <row r="412" ht="12.75" customHeight="1" s="111">
      <c r="A412" s="93" t="n"/>
      <c r="B412" s="93" t="n"/>
      <c r="C412" s="93" t="n"/>
      <c r="D412" s="93" t="n"/>
      <c r="E412" s="93" t="n"/>
      <c r="F412" s="93" t="n"/>
      <c r="G412" s="93" t="n"/>
      <c r="H412" s="93" t="n"/>
      <c r="I412" s="93" t="n"/>
      <c r="J412" s="93" t="n"/>
      <c r="K412" s="93" t="n"/>
      <c r="L412" s="93" t="n"/>
      <c r="M412" s="93" t="n"/>
      <c r="N412" s="93" t="n"/>
      <c r="O412" s="93" t="n"/>
      <c r="P412" s="93" t="n"/>
      <c r="Q412" s="93" t="n"/>
      <c r="R412" s="93" t="n"/>
      <c r="S412" s="93" t="n"/>
      <c r="T412" s="93" t="n"/>
    </row>
    <row r="413" ht="12.75" customHeight="1" s="111">
      <c r="A413" s="93" t="n"/>
      <c r="B413" s="93" t="n"/>
      <c r="C413" s="93" t="n"/>
      <c r="D413" s="93" t="n"/>
      <c r="E413" s="93" t="n"/>
      <c r="F413" s="93" t="n"/>
      <c r="G413" s="93" t="n"/>
      <c r="H413" s="93" t="n"/>
      <c r="I413" s="93" t="n"/>
      <c r="J413" s="93" t="n"/>
      <c r="K413" s="93" t="n"/>
      <c r="L413" s="93" t="n"/>
      <c r="M413" s="93" t="n"/>
      <c r="N413" s="93" t="n"/>
      <c r="O413" s="93" t="n"/>
      <c r="P413" s="93" t="n"/>
      <c r="Q413" s="93" t="n"/>
      <c r="R413" s="93" t="n"/>
      <c r="S413" s="93" t="n"/>
      <c r="T413" s="93" t="n"/>
    </row>
    <row r="414" ht="12.75" customHeight="1" s="111">
      <c r="A414" s="93" t="n"/>
      <c r="B414" s="93" t="n"/>
      <c r="C414" s="93" t="n"/>
      <c r="D414" s="93" t="n"/>
      <c r="E414" s="93" t="n"/>
      <c r="F414" s="93" t="n"/>
      <c r="G414" s="93" t="n"/>
      <c r="H414" s="93" t="n"/>
      <c r="I414" s="93" t="n"/>
      <c r="J414" s="93" t="n"/>
      <c r="K414" s="93" t="n"/>
      <c r="L414" s="93" t="n"/>
      <c r="M414" s="93" t="n"/>
      <c r="N414" s="93" t="n"/>
      <c r="O414" s="93" t="n"/>
      <c r="P414" s="93" t="n"/>
      <c r="Q414" s="93" t="n"/>
      <c r="R414" s="93" t="n"/>
      <c r="S414" s="93" t="n"/>
      <c r="T414" s="93" t="n"/>
    </row>
    <row r="415" ht="12.75" customHeight="1" s="111">
      <c r="A415" s="93" t="n"/>
      <c r="B415" s="93" t="n"/>
      <c r="C415" s="93" t="n"/>
      <c r="D415" s="93" t="n"/>
      <c r="E415" s="93" t="n"/>
      <c r="F415" s="93" t="n"/>
      <c r="G415" s="93" t="n"/>
      <c r="H415" s="93" t="n"/>
      <c r="I415" s="93" t="n"/>
      <c r="J415" s="93" t="n"/>
      <c r="K415" s="93" t="n"/>
      <c r="L415" s="93" t="n"/>
      <c r="M415" s="93" t="n"/>
      <c r="N415" s="93" t="n"/>
      <c r="O415" s="93" t="n"/>
      <c r="P415" s="93" t="n"/>
      <c r="Q415" s="93" t="n"/>
      <c r="R415" s="93" t="n"/>
      <c r="S415" s="93" t="n"/>
      <c r="T415" s="93" t="n"/>
    </row>
    <row r="416" ht="12.75" customHeight="1" s="111">
      <c r="A416" s="93" t="n"/>
      <c r="B416" s="93" t="n"/>
      <c r="C416" s="93" t="n"/>
      <c r="D416" s="93" t="n"/>
      <c r="E416" s="93" t="n"/>
      <c r="F416" s="93" t="n"/>
      <c r="G416" s="93" t="n"/>
      <c r="H416" s="93" t="n"/>
      <c r="I416" s="93" t="n"/>
      <c r="J416" s="93" t="n"/>
      <c r="K416" s="93" t="n"/>
      <c r="L416" s="93" t="n"/>
      <c r="M416" s="93" t="n"/>
      <c r="N416" s="93" t="n"/>
      <c r="O416" s="93" t="n"/>
      <c r="P416" s="93" t="n"/>
      <c r="Q416" s="93" t="n"/>
      <c r="R416" s="93" t="n"/>
      <c r="S416" s="93" t="n"/>
      <c r="T416" s="93" t="n"/>
    </row>
    <row r="417" ht="12.75" customHeight="1" s="111">
      <c r="A417" s="93" t="n"/>
      <c r="B417" s="93" t="n"/>
      <c r="C417" s="93" t="n"/>
      <c r="D417" s="93" t="n"/>
      <c r="E417" s="93" t="n"/>
      <c r="F417" s="93" t="n"/>
      <c r="G417" s="93" t="n"/>
      <c r="H417" s="93" t="n"/>
      <c r="I417" s="93" t="n"/>
      <c r="J417" s="93" t="n"/>
      <c r="K417" s="93" t="n"/>
      <c r="L417" s="93" t="n"/>
      <c r="M417" s="93" t="n"/>
      <c r="N417" s="93" t="n"/>
      <c r="O417" s="93" t="n"/>
      <c r="P417" s="93" t="n"/>
      <c r="Q417" s="93" t="n"/>
      <c r="R417" s="93" t="n"/>
      <c r="S417" s="93" t="n"/>
      <c r="T417" s="93" t="n"/>
    </row>
    <row r="418" ht="12.75" customHeight="1" s="111">
      <c r="A418" s="93" t="n"/>
      <c r="B418" s="93" t="n"/>
      <c r="C418" s="93" t="n"/>
      <c r="D418" s="93" t="n"/>
      <c r="E418" s="93" t="n"/>
      <c r="F418" s="93" t="n"/>
      <c r="G418" s="93" t="n"/>
      <c r="H418" s="93" t="n"/>
      <c r="I418" s="93" t="n"/>
      <c r="J418" s="93" t="n"/>
      <c r="K418" s="93" t="n"/>
      <c r="L418" s="93" t="n"/>
      <c r="M418" s="93" t="n"/>
      <c r="N418" s="93" t="n"/>
      <c r="O418" s="93" t="n"/>
      <c r="P418" s="93" t="n"/>
      <c r="Q418" s="93" t="n"/>
      <c r="R418" s="93" t="n"/>
      <c r="S418" s="93" t="n"/>
      <c r="T418" s="93" t="n"/>
    </row>
    <row r="419" ht="12.75" customHeight="1" s="111">
      <c r="A419" s="93" t="n"/>
      <c r="B419" s="93" t="n"/>
      <c r="C419" s="93" t="n"/>
      <c r="D419" s="93" t="n"/>
      <c r="E419" s="93" t="n"/>
      <c r="F419" s="93" t="n"/>
      <c r="G419" s="93" t="n"/>
      <c r="H419" s="93" t="n"/>
      <c r="I419" s="93" t="n"/>
      <c r="J419" s="93" t="n"/>
      <c r="K419" s="93" t="n"/>
      <c r="L419" s="93" t="n"/>
      <c r="M419" s="93" t="n"/>
      <c r="N419" s="93" t="n"/>
      <c r="O419" s="93" t="n"/>
      <c r="P419" s="93" t="n"/>
      <c r="Q419" s="93" t="n"/>
      <c r="R419" s="93" t="n"/>
      <c r="S419" s="93" t="n"/>
      <c r="T419" s="93" t="n"/>
    </row>
    <row r="420" ht="12.75" customHeight="1" s="111">
      <c r="A420" s="93" t="n"/>
      <c r="B420" s="93" t="n"/>
      <c r="C420" s="93" t="n"/>
      <c r="D420" s="93" t="n"/>
      <c r="E420" s="93" t="n"/>
      <c r="F420" s="93" t="n"/>
      <c r="G420" s="93" t="n"/>
      <c r="H420" s="93" t="n"/>
      <c r="I420" s="93" t="n"/>
      <c r="J420" s="93" t="n"/>
      <c r="K420" s="93" t="n"/>
      <c r="L420" s="93" t="n"/>
      <c r="M420" s="93" t="n"/>
      <c r="N420" s="93" t="n"/>
      <c r="O420" s="93" t="n"/>
      <c r="P420" s="93" t="n"/>
      <c r="Q420" s="93" t="n"/>
      <c r="R420" s="93" t="n"/>
      <c r="S420" s="93" t="n"/>
      <c r="T420" s="93" t="n"/>
    </row>
    <row r="421" ht="12.75" customHeight="1" s="111">
      <c r="A421" s="93" t="n"/>
      <c r="B421" s="93" t="n"/>
      <c r="C421" s="93" t="n"/>
      <c r="D421" s="93" t="n"/>
      <c r="E421" s="93" t="n"/>
      <c r="F421" s="93" t="n"/>
      <c r="G421" s="93" t="n"/>
      <c r="H421" s="93" t="n"/>
      <c r="I421" s="93" t="n"/>
      <c r="J421" s="93" t="n"/>
      <c r="K421" s="93" t="n"/>
      <c r="L421" s="93" t="n"/>
      <c r="M421" s="93" t="n"/>
      <c r="N421" s="93" t="n"/>
      <c r="O421" s="93" t="n"/>
      <c r="P421" s="93" t="n"/>
      <c r="Q421" s="93" t="n"/>
      <c r="R421" s="93" t="n"/>
      <c r="S421" s="93" t="n"/>
      <c r="T421" s="93" t="n"/>
    </row>
    <row r="422" ht="12.75" customHeight="1" s="111">
      <c r="A422" s="93" t="n"/>
      <c r="B422" s="93" t="n"/>
      <c r="C422" s="93" t="n"/>
      <c r="D422" s="93" t="n"/>
      <c r="E422" s="93" t="n"/>
      <c r="F422" s="93" t="n"/>
      <c r="G422" s="93" t="n"/>
      <c r="H422" s="93" t="n"/>
      <c r="I422" s="93" t="n"/>
      <c r="J422" s="93" t="n"/>
      <c r="K422" s="93" t="n"/>
      <c r="L422" s="93" t="n"/>
      <c r="M422" s="93" t="n"/>
      <c r="N422" s="93" t="n"/>
      <c r="O422" s="93" t="n"/>
      <c r="P422" s="93" t="n"/>
      <c r="Q422" s="93" t="n"/>
      <c r="R422" s="93" t="n"/>
      <c r="S422" s="93" t="n"/>
      <c r="T422" s="93" t="n"/>
    </row>
    <row r="423" ht="12.75" customHeight="1" s="111">
      <c r="A423" s="93" t="n"/>
      <c r="B423" s="93" t="n"/>
      <c r="C423" s="93" t="n"/>
      <c r="D423" s="93" t="n"/>
      <c r="E423" s="93" t="n"/>
      <c r="F423" s="93" t="n"/>
      <c r="G423" s="93" t="n"/>
      <c r="H423" s="93" t="n"/>
      <c r="I423" s="93" t="n"/>
      <c r="J423" s="93" t="n"/>
      <c r="K423" s="93" t="n"/>
      <c r="L423" s="93" t="n"/>
      <c r="M423" s="93" t="n"/>
      <c r="N423" s="93" t="n"/>
      <c r="O423" s="93" t="n"/>
      <c r="P423" s="93" t="n"/>
      <c r="Q423" s="93" t="n"/>
      <c r="R423" s="93" t="n"/>
      <c r="S423" s="93" t="n"/>
      <c r="T423" s="93" t="n"/>
    </row>
    <row r="424" ht="12.75" customHeight="1" s="111">
      <c r="A424" s="93" t="n"/>
      <c r="B424" s="93" t="n"/>
      <c r="C424" s="93" t="n"/>
      <c r="D424" s="93" t="n"/>
      <c r="E424" s="93" t="n"/>
      <c r="F424" s="93" t="n"/>
      <c r="G424" s="93" t="n"/>
      <c r="H424" s="93" t="n"/>
      <c r="I424" s="93" t="n"/>
      <c r="J424" s="93" t="n"/>
      <c r="K424" s="93" t="n"/>
      <c r="L424" s="93" t="n"/>
      <c r="M424" s="93" t="n"/>
      <c r="N424" s="93" t="n"/>
      <c r="O424" s="93" t="n"/>
      <c r="P424" s="93" t="n"/>
      <c r="Q424" s="93" t="n"/>
      <c r="R424" s="93" t="n"/>
      <c r="S424" s="93" t="n"/>
      <c r="T424" s="93" t="n"/>
    </row>
    <row r="425" ht="12.75" customHeight="1" s="111">
      <c r="A425" s="93" t="n"/>
      <c r="B425" s="93" t="n"/>
      <c r="C425" s="93" t="n"/>
      <c r="D425" s="93" t="n"/>
      <c r="E425" s="93" t="n"/>
      <c r="F425" s="93" t="n"/>
      <c r="G425" s="93" t="n"/>
      <c r="H425" s="93" t="n"/>
      <c r="I425" s="93" t="n"/>
      <c r="J425" s="93" t="n"/>
      <c r="K425" s="93" t="n"/>
      <c r="L425" s="93" t="n"/>
      <c r="M425" s="93" t="n"/>
      <c r="N425" s="93" t="n"/>
      <c r="O425" s="93" t="n"/>
      <c r="P425" s="93" t="n"/>
      <c r="Q425" s="93" t="n"/>
      <c r="R425" s="93" t="n"/>
      <c r="S425" s="93" t="n"/>
      <c r="T425" s="93" t="n"/>
    </row>
    <row r="426" ht="12.75" customHeight="1" s="111">
      <c r="A426" s="93" t="n"/>
      <c r="B426" s="93" t="n"/>
      <c r="C426" s="93" t="n"/>
      <c r="D426" s="93" t="n"/>
      <c r="E426" s="93" t="n"/>
      <c r="F426" s="93" t="n"/>
      <c r="G426" s="93" t="n"/>
      <c r="H426" s="93" t="n"/>
      <c r="I426" s="93" t="n"/>
      <c r="J426" s="93" t="n"/>
      <c r="K426" s="93" t="n"/>
      <c r="L426" s="93" t="n"/>
      <c r="M426" s="93" t="n"/>
      <c r="N426" s="93" t="n"/>
      <c r="O426" s="93" t="n"/>
      <c r="P426" s="93" t="n"/>
      <c r="Q426" s="93" t="n"/>
      <c r="R426" s="93" t="n"/>
      <c r="S426" s="93" t="n"/>
      <c r="T426" s="93" t="n"/>
    </row>
    <row r="427" ht="12.75" customHeight="1" s="111">
      <c r="A427" s="93" t="n"/>
      <c r="B427" s="93" t="n"/>
      <c r="C427" s="93" t="n"/>
      <c r="D427" s="93" t="n"/>
      <c r="E427" s="93" t="n"/>
      <c r="F427" s="93" t="n"/>
      <c r="G427" s="93" t="n"/>
      <c r="H427" s="93" t="n"/>
      <c r="I427" s="93" t="n"/>
      <c r="J427" s="93" t="n"/>
      <c r="K427" s="93" t="n"/>
      <c r="L427" s="93" t="n"/>
      <c r="M427" s="93" t="n"/>
      <c r="N427" s="93" t="n"/>
      <c r="O427" s="93" t="n"/>
      <c r="P427" s="93" t="n"/>
      <c r="Q427" s="93" t="n"/>
      <c r="R427" s="93" t="n"/>
      <c r="S427" s="93" t="n"/>
      <c r="T427" s="93" t="n"/>
    </row>
    <row r="428" ht="12.75" customHeight="1" s="111">
      <c r="A428" s="93" t="n"/>
      <c r="B428" s="93" t="n"/>
      <c r="C428" s="93" t="n"/>
      <c r="D428" s="93" t="n"/>
      <c r="E428" s="93" t="n"/>
      <c r="F428" s="93" t="n"/>
      <c r="G428" s="93" t="n"/>
      <c r="H428" s="93" t="n"/>
      <c r="I428" s="93" t="n"/>
      <c r="J428" s="93" t="n"/>
      <c r="K428" s="93" t="n"/>
      <c r="L428" s="93" t="n"/>
      <c r="M428" s="93" t="n"/>
      <c r="N428" s="93" t="n"/>
      <c r="O428" s="93" t="n"/>
      <c r="P428" s="93" t="n"/>
      <c r="Q428" s="93" t="n"/>
      <c r="R428" s="93" t="n"/>
      <c r="S428" s="93" t="n"/>
      <c r="T428" s="93" t="n"/>
    </row>
    <row r="429" ht="12.75" customHeight="1" s="111">
      <c r="A429" s="93" t="n"/>
      <c r="B429" s="93" t="n"/>
      <c r="C429" s="93" t="n"/>
      <c r="D429" s="93" t="n"/>
      <c r="E429" s="93" t="n"/>
      <c r="F429" s="93" t="n"/>
      <c r="G429" s="93" t="n"/>
      <c r="H429" s="93" t="n"/>
      <c r="I429" s="93" t="n"/>
      <c r="J429" s="93" t="n"/>
      <c r="K429" s="93" t="n"/>
      <c r="L429" s="93" t="n"/>
      <c r="M429" s="93" t="n"/>
      <c r="N429" s="93" t="n"/>
      <c r="O429" s="93" t="n"/>
      <c r="P429" s="93" t="n"/>
      <c r="Q429" s="93" t="n"/>
      <c r="R429" s="93" t="n"/>
      <c r="S429" s="93" t="n"/>
      <c r="T429" s="93" t="n"/>
    </row>
    <row r="430" ht="12.75" customHeight="1" s="111">
      <c r="A430" s="93" t="n"/>
      <c r="B430" s="93" t="n"/>
      <c r="C430" s="93" t="n"/>
      <c r="D430" s="93" t="n"/>
      <c r="E430" s="93" t="n"/>
      <c r="F430" s="93" t="n"/>
      <c r="G430" s="93" t="n"/>
      <c r="H430" s="93" t="n"/>
      <c r="I430" s="93" t="n"/>
      <c r="J430" s="93" t="n"/>
      <c r="K430" s="93" t="n"/>
      <c r="L430" s="93" t="n"/>
      <c r="M430" s="93" t="n"/>
      <c r="N430" s="93" t="n"/>
      <c r="O430" s="93" t="n"/>
      <c r="P430" s="93" t="n"/>
      <c r="Q430" s="93" t="n"/>
      <c r="R430" s="93" t="n"/>
      <c r="S430" s="93" t="n"/>
      <c r="T430" s="93" t="n"/>
    </row>
    <row r="431" ht="12.75" customHeight="1" s="111">
      <c r="A431" s="93" t="n"/>
      <c r="B431" s="93" t="n"/>
      <c r="C431" s="93" t="n"/>
      <c r="D431" s="93" t="n"/>
      <c r="E431" s="93" t="n"/>
      <c r="F431" s="93" t="n"/>
      <c r="G431" s="93" t="n"/>
      <c r="H431" s="93" t="n"/>
      <c r="I431" s="93" t="n"/>
      <c r="J431" s="93" t="n"/>
      <c r="K431" s="93" t="n"/>
      <c r="L431" s="93" t="n"/>
      <c r="M431" s="93" t="n"/>
      <c r="N431" s="93" t="n"/>
      <c r="O431" s="93" t="n"/>
      <c r="P431" s="93" t="n"/>
      <c r="Q431" s="93" t="n"/>
      <c r="R431" s="93" t="n"/>
      <c r="S431" s="93" t="n"/>
      <c r="T431" s="93" t="n"/>
    </row>
    <row r="432" ht="12.75" customHeight="1" s="111">
      <c r="A432" s="93" t="n"/>
      <c r="B432" s="93" t="n"/>
      <c r="C432" s="93" t="n"/>
      <c r="D432" s="93" t="n"/>
      <c r="E432" s="93" t="n"/>
      <c r="F432" s="93" t="n"/>
      <c r="G432" s="93" t="n"/>
      <c r="H432" s="93" t="n"/>
      <c r="I432" s="93" t="n"/>
      <c r="J432" s="93" t="n"/>
      <c r="K432" s="93" t="n"/>
      <c r="L432" s="93" t="n"/>
      <c r="M432" s="93" t="n"/>
      <c r="N432" s="93" t="n"/>
      <c r="O432" s="93" t="n"/>
      <c r="P432" s="93" t="n"/>
      <c r="Q432" s="93" t="n"/>
      <c r="R432" s="93" t="n"/>
      <c r="S432" s="93" t="n"/>
      <c r="T432" s="93" t="n"/>
    </row>
    <row r="433" ht="12.75" customHeight="1" s="111">
      <c r="A433" s="93" t="n"/>
      <c r="B433" s="93" t="n"/>
      <c r="C433" s="93" t="n"/>
      <c r="D433" s="93" t="n"/>
      <c r="E433" s="93" t="n"/>
      <c r="F433" s="93" t="n"/>
      <c r="G433" s="93" t="n"/>
      <c r="H433" s="93" t="n"/>
      <c r="I433" s="93" t="n"/>
      <c r="J433" s="93" t="n"/>
      <c r="K433" s="93" t="n"/>
      <c r="L433" s="93" t="n"/>
      <c r="M433" s="93" t="n"/>
      <c r="N433" s="93" t="n"/>
      <c r="O433" s="93" t="n"/>
      <c r="P433" s="93" t="n"/>
      <c r="Q433" s="93" t="n"/>
      <c r="R433" s="93" t="n"/>
      <c r="S433" s="93" t="n"/>
      <c r="T433" s="93" t="n"/>
    </row>
    <row r="434" ht="12.75" customHeight="1" s="111">
      <c r="A434" s="93" t="n"/>
      <c r="B434" s="93" t="n"/>
      <c r="C434" s="93" t="n"/>
      <c r="D434" s="93" t="n"/>
      <c r="E434" s="93" t="n"/>
      <c r="F434" s="93" t="n"/>
      <c r="G434" s="93" t="n"/>
      <c r="H434" s="93" t="n"/>
      <c r="I434" s="93" t="n"/>
      <c r="J434" s="93" t="n"/>
      <c r="K434" s="93" t="n"/>
      <c r="L434" s="93" t="n"/>
      <c r="M434" s="93" t="n"/>
      <c r="N434" s="93" t="n"/>
      <c r="O434" s="93" t="n"/>
      <c r="P434" s="93" t="n"/>
      <c r="Q434" s="93" t="n"/>
      <c r="R434" s="93" t="n"/>
      <c r="S434" s="93" t="n"/>
      <c r="T434" s="93" t="n"/>
    </row>
    <row r="435" ht="12.75" customHeight="1" s="111">
      <c r="A435" s="93" t="n"/>
      <c r="B435" s="93" t="n"/>
      <c r="C435" s="93" t="n"/>
      <c r="D435" s="93" t="n"/>
      <c r="E435" s="93" t="n"/>
      <c r="F435" s="93" t="n"/>
      <c r="G435" s="93" t="n"/>
      <c r="H435" s="93" t="n"/>
      <c r="I435" s="93" t="n"/>
      <c r="J435" s="93" t="n"/>
      <c r="K435" s="93" t="n"/>
      <c r="L435" s="93" t="n"/>
      <c r="M435" s="93" t="n"/>
      <c r="N435" s="93" t="n"/>
      <c r="O435" s="93" t="n"/>
      <c r="P435" s="93" t="n"/>
      <c r="Q435" s="93" t="n"/>
      <c r="R435" s="93" t="n"/>
      <c r="S435" s="93" t="n"/>
      <c r="T435" s="93" t="n"/>
    </row>
    <row r="436" ht="12.75" customHeight="1" s="111">
      <c r="A436" s="93" t="n"/>
      <c r="B436" s="93" t="n"/>
      <c r="C436" s="93" t="n"/>
      <c r="D436" s="93" t="n"/>
      <c r="E436" s="93" t="n"/>
      <c r="F436" s="93" t="n"/>
      <c r="G436" s="93" t="n"/>
      <c r="H436" s="93" t="n"/>
      <c r="I436" s="93" t="n"/>
      <c r="J436" s="93" t="n"/>
      <c r="K436" s="93" t="n"/>
      <c r="L436" s="93" t="n"/>
      <c r="M436" s="93" t="n"/>
      <c r="N436" s="93" t="n"/>
      <c r="O436" s="93" t="n"/>
      <c r="P436" s="93" t="n"/>
      <c r="Q436" s="93" t="n"/>
      <c r="R436" s="93" t="n"/>
      <c r="S436" s="93" t="n"/>
      <c r="T436" s="93" t="n"/>
    </row>
    <row r="437" ht="12.75" customHeight="1" s="111">
      <c r="A437" s="93" t="n"/>
      <c r="B437" s="93" t="n"/>
      <c r="C437" s="93" t="n"/>
      <c r="D437" s="93" t="n"/>
      <c r="E437" s="93" t="n"/>
      <c r="F437" s="93" t="n"/>
      <c r="G437" s="93" t="n"/>
      <c r="H437" s="93" t="n"/>
      <c r="I437" s="93" t="n"/>
      <c r="J437" s="93" t="n"/>
      <c r="K437" s="93" t="n"/>
      <c r="L437" s="93" t="n"/>
      <c r="M437" s="93" t="n"/>
      <c r="N437" s="93" t="n"/>
      <c r="O437" s="93" t="n"/>
      <c r="P437" s="93" t="n"/>
      <c r="Q437" s="93" t="n"/>
      <c r="R437" s="93" t="n"/>
      <c r="S437" s="93" t="n"/>
      <c r="T437" s="93" t="n"/>
    </row>
    <row r="438" ht="12.75" customHeight="1" s="111">
      <c r="A438" s="93" t="n"/>
      <c r="B438" s="93" t="n"/>
      <c r="C438" s="93" t="n"/>
      <c r="D438" s="93" t="n"/>
      <c r="E438" s="93" t="n"/>
      <c r="F438" s="93" t="n"/>
      <c r="G438" s="93" t="n"/>
      <c r="H438" s="93" t="n"/>
      <c r="I438" s="93" t="n"/>
      <c r="J438" s="93" t="n"/>
      <c r="K438" s="93" t="n"/>
      <c r="L438" s="93" t="n"/>
      <c r="M438" s="93" t="n"/>
      <c r="N438" s="93" t="n"/>
      <c r="O438" s="93" t="n"/>
      <c r="P438" s="93" t="n"/>
      <c r="Q438" s="93" t="n"/>
      <c r="R438" s="93" t="n"/>
      <c r="S438" s="93" t="n"/>
      <c r="T438" s="93" t="n"/>
    </row>
    <row r="439" ht="12.75" customHeight="1" s="111">
      <c r="A439" s="93" t="n"/>
      <c r="B439" s="93" t="n"/>
      <c r="C439" s="93" t="n"/>
      <c r="D439" s="93" t="n"/>
      <c r="E439" s="93" t="n"/>
      <c r="F439" s="93" t="n"/>
      <c r="G439" s="93" t="n"/>
      <c r="H439" s="93" t="n"/>
      <c r="I439" s="93" t="n"/>
      <c r="J439" s="93" t="n"/>
      <c r="K439" s="93" t="n"/>
      <c r="L439" s="93" t="n"/>
      <c r="M439" s="93" t="n"/>
      <c r="N439" s="93" t="n"/>
      <c r="O439" s="93" t="n"/>
      <c r="P439" s="93" t="n"/>
      <c r="Q439" s="93" t="n"/>
      <c r="R439" s="93" t="n"/>
      <c r="S439" s="93" t="n"/>
      <c r="T439" s="93" t="n"/>
    </row>
    <row r="440" ht="12.75" customHeight="1" s="111">
      <c r="A440" s="93" t="n"/>
      <c r="B440" s="93" t="n"/>
      <c r="C440" s="93" t="n"/>
      <c r="D440" s="93" t="n"/>
      <c r="E440" s="93" t="n"/>
      <c r="F440" s="93" t="n"/>
      <c r="G440" s="93" t="n"/>
      <c r="H440" s="93" t="n"/>
      <c r="I440" s="93" t="n"/>
      <c r="J440" s="93" t="n"/>
      <c r="K440" s="93" t="n"/>
      <c r="L440" s="93" t="n"/>
      <c r="M440" s="93" t="n"/>
      <c r="N440" s="93" t="n"/>
      <c r="O440" s="93" t="n"/>
      <c r="P440" s="93" t="n"/>
      <c r="Q440" s="93" t="n"/>
      <c r="R440" s="93" t="n"/>
      <c r="S440" s="93" t="n"/>
      <c r="T440" s="93" t="n"/>
    </row>
    <row r="441" ht="12.75" customHeight="1" s="111">
      <c r="A441" s="93" t="n"/>
      <c r="B441" s="93" t="n"/>
      <c r="C441" s="93" t="n"/>
      <c r="D441" s="93" t="n"/>
      <c r="E441" s="93" t="n"/>
      <c r="F441" s="93" t="n"/>
      <c r="G441" s="93" t="n"/>
      <c r="H441" s="93" t="n"/>
      <c r="I441" s="93" t="n"/>
      <c r="J441" s="93" t="n"/>
      <c r="K441" s="93" t="n"/>
      <c r="L441" s="93" t="n"/>
      <c r="M441" s="93" t="n"/>
      <c r="N441" s="93" t="n"/>
      <c r="O441" s="93" t="n"/>
      <c r="P441" s="93" t="n"/>
      <c r="Q441" s="93" t="n"/>
      <c r="R441" s="93" t="n"/>
      <c r="S441" s="93" t="n"/>
      <c r="T441" s="93" t="n"/>
    </row>
    <row r="442" ht="12.75" customHeight="1" s="111">
      <c r="A442" s="93" t="n"/>
      <c r="B442" s="93" t="n"/>
      <c r="C442" s="93" t="n"/>
      <c r="D442" s="93" t="n"/>
      <c r="E442" s="93" t="n"/>
      <c r="F442" s="93" t="n"/>
      <c r="G442" s="93" t="n"/>
      <c r="H442" s="93" t="n"/>
      <c r="I442" s="93" t="n"/>
      <c r="J442" s="93" t="n"/>
      <c r="K442" s="93" t="n"/>
      <c r="L442" s="93" t="n"/>
      <c r="M442" s="93" t="n"/>
      <c r="N442" s="93" t="n"/>
      <c r="O442" s="93" t="n"/>
      <c r="P442" s="93" t="n"/>
      <c r="Q442" s="93" t="n"/>
      <c r="R442" s="93" t="n"/>
      <c r="S442" s="93" t="n"/>
      <c r="T442" s="93" t="n"/>
    </row>
    <row r="443" ht="12.75" customHeight="1" s="111">
      <c r="A443" s="93" t="n"/>
      <c r="B443" s="93" t="n"/>
      <c r="C443" s="93" t="n"/>
      <c r="D443" s="93" t="n"/>
      <c r="E443" s="93" t="n"/>
      <c r="F443" s="93" t="n"/>
      <c r="G443" s="93" t="n"/>
      <c r="H443" s="93" t="n"/>
      <c r="I443" s="93" t="n"/>
      <c r="J443" s="93" t="n"/>
      <c r="K443" s="93" t="n"/>
      <c r="L443" s="93" t="n"/>
      <c r="M443" s="93" t="n"/>
      <c r="N443" s="93" t="n"/>
      <c r="O443" s="93" t="n"/>
      <c r="P443" s="93" t="n"/>
      <c r="Q443" s="93" t="n"/>
      <c r="R443" s="93" t="n"/>
      <c r="S443" s="93" t="n"/>
      <c r="T443" s="93" t="n"/>
    </row>
    <row r="444" ht="12.75" customHeight="1" s="111">
      <c r="A444" s="93" t="n"/>
      <c r="B444" s="93" t="n"/>
      <c r="C444" s="93" t="n"/>
      <c r="D444" s="93" t="n"/>
      <c r="E444" s="93" t="n"/>
      <c r="F444" s="93" t="n"/>
      <c r="G444" s="93" t="n"/>
      <c r="H444" s="93" t="n"/>
      <c r="I444" s="93" t="n"/>
      <c r="J444" s="93" t="n"/>
      <c r="K444" s="93" t="n"/>
      <c r="L444" s="93" t="n"/>
      <c r="M444" s="93" t="n"/>
      <c r="N444" s="93" t="n"/>
      <c r="O444" s="93" t="n"/>
      <c r="P444" s="93" t="n"/>
      <c r="Q444" s="93" t="n"/>
      <c r="R444" s="93" t="n"/>
      <c r="S444" s="93" t="n"/>
      <c r="T444" s="93" t="n"/>
    </row>
    <row r="445" ht="12.75" customHeight="1" s="111">
      <c r="A445" s="93" t="n"/>
      <c r="B445" s="93" t="n"/>
      <c r="C445" s="93" t="n"/>
      <c r="D445" s="93" t="n"/>
      <c r="E445" s="93" t="n"/>
      <c r="F445" s="93" t="n"/>
      <c r="G445" s="93" t="n"/>
      <c r="H445" s="93" t="n"/>
      <c r="I445" s="93" t="n"/>
      <c r="J445" s="93" t="n"/>
      <c r="K445" s="93" t="n"/>
      <c r="L445" s="93" t="n"/>
      <c r="M445" s="93" t="n"/>
      <c r="N445" s="93" t="n"/>
      <c r="O445" s="93" t="n"/>
      <c r="P445" s="93" t="n"/>
      <c r="Q445" s="93" t="n"/>
      <c r="R445" s="93" t="n"/>
      <c r="S445" s="93" t="n"/>
      <c r="T445" s="93" t="n"/>
    </row>
    <row r="446" ht="12.75" customHeight="1" s="111">
      <c r="A446" s="93" t="n"/>
      <c r="B446" s="93" t="n"/>
      <c r="C446" s="93" t="n"/>
      <c r="D446" s="93" t="n"/>
      <c r="E446" s="93" t="n"/>
      <c r="F446" s="93" t="n"/>
      <c r="G446" s="93" t="n"/>
      <c r="H446" s="93" t="n"/>
      <c r="I446" s="93" t="n"/>
      <c r="J446" s="93" t="n"/>
      <c r="K446" s="93" t="n"/>
      <c r="L446" s="93" t="n"/>
      <c r="M446" s="93" t="n"/>
      <c r="N446" s="93" t="n"/>
      <c r="O446" s="93" t="n"/>
      <c r="P446" s="93" t="n"/>
      <c r="Q446" s="93" t="n"/>
      <c r="R446" s="93" t="n"/>
      <c r="S446" s="93" t="n"/>
      <c r="T446" s="93" t="n"/>
    </row>
    <row r="447" ht="12.75" customHeight="1" s="111">
      <c r="A447" s="93" t="n"/>
      <c r="B447" s="93" t="n"/>
      <c r="C447" s="93" t="n"/>
      <c r="D447" s="93" t="n"/>
      <c r="E447" s="93" t="n"/>
      <c r="F447" s="93" t="n"/>
      <c r="G447" s="93" t="n"/>
      <c r="H447" s="93" t="n"/>
      <c r="I447" s="93" t="n"/>
      <c r="J447" s="93" t="n"/>
      <c r="K447" s="93" t="n"/>
      <c r="L447" s="93" t="n"/>
      <c r="M447" s="93" t="n"/>
      <c r="N447" s="93" t="n"/>
      <c r="O447" s="93" t="n"/>
      <c r="P447" s="93" t="n"/>
      <c r="Q447" s="93" t="n"/>
      <c r="R447" s="93" t="n"/>
      <c r="S447" s="93" t="n"/>
      <c r="T447" s="93" t="n"/>
    </row>
    <row r="448" ht="12.75" customHeight="1" s="111">
      <c r="A448" s="93" t="n"/>
      <c r="B448" s="93" t="n"/>
      <c r="C448" s="93" t="n"/>
      <c r="D448" s="93" t="n"/>
      <c r="E448" s="93" t="n"/>
      <c r="F448" s="93" t="n"/>
      <c r="G448" s="93" t="n"/>
      <c r="H448" s="93" t="n"/>
      <c r="I448" s="93" t="n"/>
      <c r="J448" s="93" t="n"/>
      <c r="K448" s="93" t="n"/>
      <c r="L448" s="93" t="n"/>
      <c r="M448" s="93" t="n"/>
      <c r="N448" s="93" t="n"/>
      <c r="O448" s="93" t="n"/>
      <c r="P448" s="93" t="n"/>
      <c r="Q448" s="93" t="n"/>
      <c r="R448" s="93" t="n"/>
      <c r="S448" s="93" t="n"/>
      <c r="T448" s="93" t="n"/>
    </row>
    <row r="449" ht="12.75" customHeight="1" s="111">
      <c r="A449" s="93" t="n"/>
      <c r="B449" s="93" t="n"/>
      <c r="C449" s="93" t="n"/>
      <c r="D449" s="93" t="n"/>
      <c r="E449" s="93" t="n"/>
      <c r="F449" s="93" t="n"/>
      <c r="G449" s="93" t="n"/>
      <c r="H449" s="93" t="n"/>
      <c r="I449" s="93" t="n"/>
      <c r="J449" s="93" t="n"/>
      <c r="K449" s="93" t="n"/>
      <c r="L449" s="93" t="n"/>
      <c r="M449" s="93" t="n"/>
      <c r="N449" s="93" t="n"/>
      <c r="O449" s="93" t="n"/>
      <c r="P449" s="93" t="n"/>
      <c r="Q449" s="93" t="n"/>
      <c r="R449" s="93" t="n"/>
      <c r="S449" s="93" t="n"/>
      <c r="T449" s="93" t="n"/>
    </row>
    <row r="450" ht="12.75" customHeight="1" s="111">
      <c r="A450" s="93" t="n"/>
      <c r="B450" s="93" t="n"/>
      <c r="C450" s="93" t="n"/>
      <c r="D450" s="93" t="n"/>
      <c r="E450" s="93" t="n"/>
      <c r="F450" s="93" t="n"/>
      <c r="G450" s="93" t="n"/>
      <c r="H450" s="93" t="n"/>
      <c r="I450" s="93" t="n"/>
      <c r="J450" s="93" t="n"/>
      <c r="K450" s="93" t="n"/>
      <c r="L450" s="93" t="n"/>
      <c r="M450" s="93" t="n"/>
      <c r="N450" s="93" t="n"/>
      <c r="O450" s="93" t="n"/>
      <c r="P450" s="93" t="n"/>
      <c r="Q450" s="93" t="n"/>
      <c r="R450" s="93" t="n"/>
      <c r="S450" s="93" t="n"/>
      <c r="T450" s="93" t="n"/>
    </row>
    <row r="451" ht="12.75" customHeight="1" s="111">
      <c r="A451" s="93" t="n"/>
      <c r="B451" s="93" t="n"/>
      <c r="C451" s="93" t="n"/>
      <c r="D451" s="93" t="n"/>
      <c r="E451" s="93" t="n"/>
      <c r="F451" s="93" t="n"/>
      <c r="G451" s="93" t="n"/>
      <c r="H451" s="93" t="n"/>
      <c r="I451" s="93" t="n"/>
      <c r="J451" s="93" t="n"/>
      <c r="K451" s="93" t="n"/>
      <c r="L451" s="93" t="n"/>
      <c r="M451" s="93" t="n"/>
      <c r="N451" s="93" t="n"/>
      <c r="O451" s="93" t="n"/>
      <c r="P451" s="93" t="n"/>
      <c r="Q451" s="93" t="n"/>
      <c r="R451" s="93" t="n"/>
      <c r="S451" s="93" t="n"/>
      <c r="T451" s="93" t="n"/>
    </row>
    <row r="452" ht="12.75" customHeight="1" s="111">
      <c r="A452" s="93" t="n"/>
      <c r="B452" s="93" t="n"/>
      <c r="C452" s="93" t="n"/>
      <c r="D452" s="93" t="n"/>
      <c r="E452" s="93" t="n"/>
      <c r="F452" s="93" t="n"/>
      <c r="G452" s="93" t="n"/>
      <c r="H452" s="93" t="n"/>
      <c r="I452" s="93" t="n"/>
      <c r="J452" s="93" t="n"/>
      <c r="K452" s="93" t="n"/>
      <c r="L452" s="93" t="n"/>
      <c r="M452" s="93" t="n"/>
      <c r="N452" s="93" t="n"/>
      <c r="O452" s="93" t="n"/>
      <c r="P452" s="93" t="n"/>
      <c r="Q452" s="93" t="n"/>
      <c r="R452" s="93" t="n"/>
      <c r="S452" s="93" t="n"/>
      <c r="T452" s="93" t="n"/>
    </row>
    <row r="453" ht="12.75" customHeight="1" s="111">
      <c r="A453" s="93" t="n"/>
      <c r="B453" s="93" t="n"/>
      <c r="C453" s="93" t="n"/>
      <c r="D453" s="93" t="n"/>
      <c r="E453" s="93" t="n"/>
      <c r="F453" s="93" t="n"/>
      <c r="G453" s="93" t="n"/>
      <c r="H453" s="93" t="n"/>
      <c r="I453" s="93" t="n"/>
      <c r="J453" s="93" t="n"/>
      <c r="K453" s="93" t="n"/>
      <c r="L453" s="93" t="n"/>
      <c r="M453" s="93" t="n"/>
      <c r="N453" s="93" t="n"/>
      <c r="O453" s="93" t="n"/>
      <c r="P453" s="93" t="n"/>
      <c r="Q453" s="93" t="n"/>
      <c r="R453" s="93" t="n"/>
      <c r="S453" s="93" t="n"/>
      <c r="T453" s="93" t="n"/>
    </row>
    <row r="454" ht="12.75" customHeight="1" s="111">
      <c r="A454" s="93" t="n"/>
      <c r="B454" s="93" t="n"/>
      <c r="C454" s="93" t="n"/>
      <c r="D454" s="93" t="n"/>
      <c r="E454" s="93" t="n"/>
      <c r="F454" s="93" t="n"/>
      <c r="G454" s="93" t="n"/>
      <c r="H454" s="93" t="n"/>
      <c r="I454" s="93" t="n"/>
      <c r="J454" s="93" t="n"/>
      <c r="K454" s="93" t="n"/>
      <c r="L454" s="93" t="n"/>
      <c r="M454" s="93" t="n"/>
      <c r="N454" s="93" t="n"/>
      <c r="O454" s="93" t="n"/>
      <c r="P454" s="93" t="n"/>
      <c r="Q454" s="93" t="n"/>
      <c r="R454" s="93" t="n"/>
      <c r="S454" s="93" t="n"/>
      <c r="T454" s="93" t="n"/>
    </row>
    <row r="455" ht="12.75" customHeight="1" s="111">
      <c r="A455" s="93" t="n"/>
      <c r="B455" s="93" t="n"/>
      <c r="C455" s="93" t="n"/>
      <c r="D455" s="93" t="n"/>
      <c r="E455" s="93" t="n"/>
      <c r="F455" s="93" t="n"/>
      <c r="G455" s="93" t="n"/>
      <c r="H455" s="93" t="n"/>
      <c r="I455" s="93" t="n"/>
      <c r="J455" s="93" t="n"/>
      <c r="K455" s="93" t="n"/>
      <c r="L455" s="93" t="n"/>
      <c r="M455" s="93" t="n"/>
      <c r="N455" s="93" t="n"/>
      <c r="O455" s="93" t="n"/>
      <c r="P455" s="93" t="n"/>
      <c r="Q455" s="93" t="n"/>
      <c r="R455" s="93" t="n"/>
      <c r="S455" s="93" t="n"/>
      <c r="T455" s="93" t="n"/>
    </row>
    <row r="456" ht="12.75" customHeight="1" s="111">
      <c r="A456" s="93" t="n"/>
      <c r="B456" s="93" t="n"/>
      <c r="C456" s="93" t="n"/>
      <c r="D456" s="93" t="n"/>
      <c r="E456" s="93" t="n"/>
      <c r="F456" s="93" t="n"/>
      <c r="G456" s="93" t="n"/>
      <c r="H456" s="93" t="n"/>
      <c r="I456" s="93" t="n"/>
      <c r="J456" s="93" t="n"/>
      <c r="K456" s="93" t="n"/>
      <c r="L456" s="93" t="n"/>
      <c r="M456" s="93" t="n"/>
      <c r="N456" s="93" t="n"/>
      <c r="O456" s="93" t="n"/>
      <c r="P456" s="93" t="n"/>
      <c r="Q456" s="93" t="n"/>
      <c r="R456" s="93" t="n"/>
      <c r="S456" s="93" t="n"/>
      <c r="T456" s="93" t="n"/>
    </row>
    <row r="457" ht="12.75" customHeight="1" s="111">
      <c r="A457" s="93" t="n"/>
      <c r="B457" s="93" t="n"/>
      <c r="C457" s="93" t="n"/>
      <c r="D457" s="93" t="n"/>
      <c r="E457" s="93" t="n"/>
      <c r="F457" s="93" t="n"/>
      <c r="G457" s="93" t="n"/>
      <c r="H457" s="93" t="n"/>
      <c r="I457" s="93" t="n"/>
      <c r="J457" s="93" t="n"/>
      <c r="K457" s="93" t="n"/>
      <c r="L457" s="93" t="n"/>
      <c r="M457" s="93" t="n"/>
      <c r="N457" s="93" t="n"/>
      <c r="O457" s="93" t="n"/>
      <c r="P457" s="93" t="n"/>
      <c r="Q457" s="93" t="n"/>
      <c r="R457" s="93" t="n"/>
      <c r="S457" s="93" t="n"/>
      <c r="T457" s="93" t="n"/>
    </row>
    <row r="458" ht="12.75" customHeight="1" s="111">
      <c r="A458" s="93" t="n"/>
      <c r="B458" s="93" t="n"/>
      <c r="C458" s="93" t="n"/>
      <c r="D458" s="93" t="n"/>
      <c r="E458" s="93" t="n"/>
      <c r="F458" s="93" t="n"/>
      <c r="G458" s="93" t="n"/>
      <c r="H458" s="93" t="n"/>
      <c r="I458" s="93" t="n"/>
      <c r="J458" s="93" t="n"/>
      <c r="K458" s="93" t="n"/>
      <c r="L458" s="93" t="n"/>
      <c r="M458" s="93" t="n"/>
      <c r="N458" s="93" t="n"/>
      <c r="O458" s="93" t="n"/>
      <c r="P458" s="93" t="n"/>
      <c r="Q458" s="93" t="n"/>
      <c r="R458" s="93" t="n"/>
      <c r="S458" s="93" t="n"/>
      <c r="T458" s="93" t="n"/>
    </row>
    <row r="459" ht="12.75" customHeight="1" s="111">
      <c r="A459" s="93" t="n"/>
      <c r="B459" s="93" t="n"/>
      <c r="C459" s="93" t="n"/>
      <c r="D459" s="93" t="n"/>
      <c r="E459" s="93" t="n"/>
      <c r="F459" s="93" t="n"/>
      <c r="G459" s="93" t="n"/>
      <c r="H459" s="93" t="n"/>
      <c r="I459" s="93" t="n"/>
      <c r="J459" s="93" t="n"/>
      <c r="K459" s="93" t="n"/>
      <c r="L459" s="93" t="n"/>
      <c r="M459" s="93" t="n"/>
      <c r="N459" s="93" t="n"/>
      <c r="O459" s="93" t="n"/>
      <c r="P459" s="93" t="n"/>
      <c r="Q459" s="93" t="n"/>
      <c r="R459" s="93" t="n"/>
      <c r="S459" s="93" t="n"/>
      <c r="T459" s="93" t="n"/>
    </row>
    <row r="460" ht="12.75" customHeight="1" s="111">
      <c r="A460" s="93" t="n"/>
      <c r="B460" s="93" t="n"/>
      <c r="C460" s="93" t="n"/>
      <c r="D460" s="93" t="n"/>
      <c r="E460" s="93" t="n"/>
      <c r="F460" s="93" t="n"/>
      <c r="G460" s="93" t="n"/>
      <c r="H460" s="93" t="n"/>
      <c r="I460" s="93" t="n"/>
      <c r="J460" s="93" t="n"/>
      <c r="K460" s="93" t="n"/>
      <c r="L460" s="93" t="n"/>
      <c r="M460" s="93" t="n"/>
      <c r="N460" s="93" t="n"/>
      <c r="O460" s="93" t="n"/>
      <c r="P460" s="93" t="n"/>
      <c r="Q460" s="93" t="n"/>
      <c r="R460" s="93" t="n"/>
      <c r="S460" s="93" t="n"/>
      <c r="T460" s="93" t="n"/>
    </row>
    <row r="461" ht="12.75" customHeight="1" s="111">
      <c r="A461" s="93" t="n"/>
      <c r="B461" s="93" t="n"/>
      <c r="C461" s="93" t="n"/>
      <c r="D461" s="93" t="n"/>
      <c r="E461" s="93" t="n"/>
      <c r="F461" s="93" t="n"/>
      <c r="G461" s="93" t="n"/>
      <c r="H461" s="93" t="n"/>
      <c r="I461" s="93" t="n"/>
      <c r="J461" s="93" t="n"/>
      <c r="K461" s="93" t="n"/>
      <c r="L461" s="93" t="n"/>
      <c r="M461" s="93" t="n"/>
      <c r="N461" s="93" t="n"/>
      <c r="O461" s="93" t="n"/>
      <c r="P461" s="93" t="n"/>
      <c r="Q461" s="93" t="n"/>
      <c r="R461" s="93" t="n"/>
      <c r="S461" s="93" t="n"/>
      <c r="T461" s="93" t="n"/>
    </row>
    <row r="462" ht="12.75" customHeight="1" s="111">
      <c r="A462" s="93" t="n"/>
      <c r="B462" s="93" t="n"/>
      <c r="C462" s="93" t="n"/>
      <c r="D462" s="93" t="n"/>
      <c r="E462" s="93" t="n"/>
      <c r="F462" s="93" t="n"/>
      <c r="G462" s="93" t="n"/>
      <c r="H462" s="93" t="n"/>
      <c r="I462" s="93" t="n"/>
      <c r="J462" s="93" t="n"/>
      <c r="K462" s="93" t="n"/>
      <c r="L462" s="93" t="n"/>
      <c r="M462" s="93" t="n"/>
      <c r="N462" s="93" t="n"/>
      <c r="O462" s="93" t="n"/>
      <c r="P462" s="93" t="n"/>
      <c r="Q462" s="93" t="n"/>
      <c r="R462" s="93" t="n"/>
      <c r="S462" s="93" t="n"/>
      <c r="T462" s="93" t="n"/>
    </row>
    <row r="463" ht="12.75" customHeight="1" s="111">
      <c r="A463" s="93" t="n"/>
      <c r="B463" s="93" t="n"/>
      <c r="C463" s="93" t="n"/>
      <c r="D463" s="93" t="n"/>
      <c r="E463" s="93" t="n"/>
      <c r="F463" s="93" t="n"/>
      <c r="G463" s="93" t="n"/>
      <c r="H463" s="93" t="n"/>
      <c r="I463" s="93" t="n"/>
      <c r="J463" s="93" t="n"/>
      <c r="K463" s="93" t="n"/>
      <c r="L463" s="93" t="n"/>
      <c r="M463" s="93" t="n"/>
      <c r="N463" s="93" t="n"/>
      <c r="O463" s="93" t="n"/>
      <c r="P463" s="93" t="n"/>
      <c r="Q463" s="93" t="n"/>
      <c r="R463" s="93" t="n"/>
      <c r="S463" s="93" t="n"/>
      <c r="T463" s="93" t="n"/>
    </row>
    <row r="464" ht="12.75" customHeight="1" s="111">
      <c r="A464" s="93" t="n"/>
      <c r="B464" s="93" t="n"/>
      <c r="C464" s="93" t="n"/>
      <c r="D464" s="93" t="n"/>
      <c r="E464" s="93" t="n"/>
      <c r="F464" s="93" t="n"/>
      <c r="G464" s="93" t="n"/>
      <c r="H464" s="93" t="n"/>
      <c r="I464" s="93" t="n"/>
      <c r="J464" s="93" t="n"/>
      <c r="K464" s="93" t="n"/>
      <c r="L464" s="93" t="n"/>
      <c r="M464" s="93" t="n"/>
      <c r="N464" s="93" t="n"/>
      <c r="O464" s="93" t="n"/>
      <c r="P464" s="93" t="n"/>
      <c r="Q464" s="93" t="n"/>
      <c r="R464" s="93" t="n"/>
      <c r="S464" s="93" t="n"/>
      <c r="T464" s="93" t="n"/>
    </row>
    <row r="465" ht="12.75" customHeight="1" s="111">
      <c r="A465" s="93" t="n"/>
      <c r="B465" s="93" t="n"/>
      <c r="C465" s="93" t="n"/>
      <c r="D465" s="93" t="n"/>
      <c r="E465" s="93" t="n"/>
      <c r="F465" s="93" t="n"/>
      <c r="G465" s="93" t="n"/>
      <c r="H465" s="93" t="n"/>
      <c r="I465" s="93" t="n"/>
      <c r="J465" s="93" t="n"/>
      <c r="K465" s="93" t="n"/>
      <c r="L465" s="93" t="n"/>
      <c r="M465" s="93" t="n"/>
      <c r="N465" s="93" t="n"/>
      <c r="O465" s="93" t="n"/>
      <c r="P465" s="93" t="n"/>
      <c r="Q465" s="93" t="n"/>
      <c r="R465" s="93" t="n"/>
      <c r="S465" s="93" t="n"/>
      <c r="T465" s="93" t="n"/>
    </row>
    <row r="466" ht="12.75" customHeight="1" s="111">
      <c r="A466" s="93" t="n"/>
      <c r="B466" s="93" t="n"/>
      <c r="C466" s="93" t="n"/>
      <c r="D466" s="93" t="n"/>
      <c r="E466" s="93" t="n"/>
      <c r="F466" s="93" t="n"/>
      <c r="G466" s="93" t="n"/>
      <c r="H466" s="93" t="n"/>
      <c r="I466" s="93" t="n"/>
      <c r="J466" s="93" t="n"/>
      <c r="K466" s="93" t="n"/>
      <c r="L466" s="93" t="n"/>
      <c r="M466" s="93" t="n"/>
      <c r="N466" s="93" t="n"/>
      <c r="O466" s="93" t="n"/>
      <c r="P466" s="93" t="n"/>
      <c r="Q466" s="93" t="n"/>
      <c r="R466" s="93" t="n"/>
      <c r="S466" s="93" t="n"/>
      <c r="T466" s="93" t="n"/>
    </row>
    <row r="467" ht="12.75" customHeight="1" s="111">
      <c r="A467" s="93" t="n"/>
      <c r="B467" s="93" t="n"/>
      <c r="C467" s="93" t="n"/>
      <c r="D467" s="93" t="n"/>
      <c r="E467" s="93" t="n"/>
      <c r="F467" s="93" t="n"/>
      <c r="G467" s="93" t="n"/>
      <c r="H467" s="93" t="n"/>
      <c r="I467" s="93" t="n"/>
      <c r="J467" s="93" t="n"/>
      <c r="K467" s="93" t="n"/>
      <c r="L467" s="93" t="n"/>
      <c r="M467" s="93" t="n"/>
      <c r="N467" s="93" t="n"/>
      <c r="O467" s="93" t="n"/>
      <c r="P467" s="93" t="n"/>
      <c r="Q467" s="93" t="n"/>
      <c r="R467" s="93" t="n"/>
      <c r="S467" s="93" t="n"/>
      <c r="T467" s="93" t="n"/>
    </row>
    <row r="468" ht="12.75" customHeight="1" s="111">
      <c r="A468" s="93" t="n"/>
      <c r="B468" s="93" t="n"/>
      <c r="C468" s="93" t="n"/>
      <c r="D468" s="93" t="n"/>
      <c r="E468" s="93" t="n"/>
      <c r="F468" s="93" t="n"/>
      <c r="G468" s="93" t="n"/>
      <c r="H468" s="93" t="n"/>
      <c r="I468" s="93" t="n"/>
      <c r="J468" s="93" t="n"/>
      <c r="K468" s="93" t="n"/>
      <c r="L468" s="93" t="n"/>
      <c r="M468" s="93" t="n"/>
      <c r="N468" s="93" t="n"/>
      <c r="O468" s="93" t="n"/>
      <c r="P468" s="93" t="n"/>
      <c r="Q468" s="93" t="n"/>
      <c r="R468" s="93" t="n"/>
      <c r="S468" s="93" t="n"/>
      <c r="T468" s="93" t="n"/>
    </row>
    <row r="469" ht="12.75" customHeight="1" s="111">
      <c r="A469" s="93" t="n"/>
      <c r="B469" s="93" t="n"/>
      <c r="C469" s="93" t="n"/>
      <c r="D469" s="93" t="n"/>
      <c r="E469" s="93" t="n"/>
      <c r="F469" s="93" t="n"/>
      <c r="G469" s="93" t="n"/>
      <c r="H469" s="93" t="n"/>
      <c r="I469" s="93" t="n"/>
      <c r="J469" s="93" t="n"/>
      <c r="K469" s="93" t="n"/>
      <c r="L469" s="93" t="n"/>
      <c r="M469" s="93" t="n"/>
      <c r="N469" s="93" t="n"/>
      <c r="O469" s="93" t="n"/>
      <c r="P469" s="93" t="n"/>
      <c r="Q469" s="93" t="n"/>
      <c r="R469" s="93" t="n"/>
      <c r="S469" s="93" t="n"/>
      <c r="T469" s="93" t="n"/>
    </row>
    <row r="470" ht="12.75" customHeight="1" s="111">
      <c r="A470" s="93" t="n"/>
      <c r="B470" s="93" t="n"/>
      <c r="C470" s="93" t="n"/>
      <c r="D470" s="93" t="n"/>
      <c r="E470" s="93" t="n"/>
      <c r="F470" s="93" t="n"/>
      <c r="G470" s="93" t="n"/>
      <c r="H470" s="93" t="n"/>
      <c r="I470" s="93" t="n"/>
      <c r="J470" s="93" t="n"/>
      <c r="K470" s="93" t="n"/>
      <c r="L470" s="93" t="n"/>
      <c r="M470" s="93" t="n"/>
      <c r="N470" s="93" t="n"/>
      <c r="O470" s="93" t="n"/>
      <c r="P470" s="93" t="n"/>
      <c r="Q470" s="93" t="n"/>
      <c r="R470" s="93" t="n"/>
      <c r="S470" s="93" t="n"/>
      <c r="T470" s="93" t="n"/>
    </row>
    <row r="471" ht="12.75" customHeight="1" s="111">
      <c r="A471" s="93" t="n"/>
      <c r="B471" s="93" t="n"/>
      <c r="C471" s="93" t="n"/>
      <c r="D471" s="93" t="n"/>
      <c r="E471" s="93" t="n"/>
      <c r="F471" s="93" t="n"/>
      <c r="G471" s="93" t="n"/>
      <c r="H471" s="93" t="n"/>
      <c r="I471" s="93" t="n"/>
      <c r="J471" s="93" t="n"/>
      <c r="K471" s="93" t="n"/>
      <c r="L471" s="93" t="n"/>
      <c r="M471" s="93" t="n"/>
      <c r="N471" s="93" t="n"/>
      <c r="O471" s="93" t="n"/>
      <c r="P471" s="93" t="n"/>
      <c r="Q471" s="93" t="n"/>
      <c r="R471" s="93" t="n"/>
      <c r="S471" s="93" t="n"/>
      <c r="T471" s="93" t="n"/>
    </row>
    <row r="472" ht="12.75" customHeight="1" s="111">
      <c r="A472" s="93" t="n"/>
      <c r="B472" s="93" t="n"/>
      <c r="C472" s="93" t="n"/>
      <c r="D472" s="93" t="n"/>
      <c r="E472" s="93" t="n"/>
      <c r="F472" s="93" t="n"/>
      <c r="G472" s="93" t="n"/>
      <c r="H472" s="93" t="n"/>
      <c r="I472" s="93" t="n"/>
      <c r="J472" s="93" t="n"/>
      <c r="K472" s="93" t="n"/>
      <c r="L472" s="93" t="n"/>
      <c r="M472" s="93" t="n"/>
      <c r="N472" s="93" t="n"/>
      <c r="O472" s="93" t="n"/>
      <c r="P472" s="93" t="n"/>
      <c r="Q472" s="93" t="n"/>
      <c r="R472" s="93" t="n"/>
      <c r="S472" s="93" t="n"/>
      <c r="T472" s="93" t="n"/>
    </row>
    <row r="473" ht="12.75" customHeight="1" s="111">
      <c r="A473" s="93" t="n"/>
      <c r="B473" s="93" t="n"/>
      <c r="C473" s="93" t="n"/>
      <c r="D473" s="93" t="n"/>
      <c r="E473" s="93" t="n"/>
      <c r="F473" s="93" t="n"/>
      <c r="G473" s="93" t="n"/>
      <c r="H473" s="93" t="n"/>
      <c r="I473" s="93" t="n"/>
      <c r="J473" s="93" t="n"/>
      <c r="K473" s="93" t="n"/>
      <c r="L473" s="93" t="n"/>
      <c r="M473" s="93" t="n"/>
      <c r="N473" s="93" t="n"/>
      <c r="O473" s="93" t="n"/>
      <c r="P473" s="93" t="n"/>
      <c r="Q473" s="93" t="n"/>
      <c r="R473" s="93" t="n"/>
      <c r="S473" s="93" t="n"/>
      <c r="T473" s="93" t="n"/>
    </row>
    <row r="474" ht="12.75" customHeight="1" s="111">
      <c r="A474" s="93" t="n"/>
      <c r="B474" s="93" t="n"/>
      <c r="C474" s="93" t="n"/>
      <c r="D474" s="93" t="n"/>
      <c r="E474" s="93" t="n"/>
      <c r="F474" s="93" t="n"/>
      <c r="G474" s="93" t="n"/>
      <c r="H474" s="93" t="n"/>
      <c r="I474" s="93" t="n"/>
      <c r="J474" s="93" t="n"/>
      <c r="K474" s="93" t="n"/>
      <c r="L474" s="93" t="n"/>
      <c r="M474" s="93" t="n"/>
      <c r="N474" s="93" t="n"/>
      <c r="O474" s="93" t="n"/>
      <c r="P474" s="93" t="n"/>
      <c r="Q474" s="93" t="n"/>
      <c r="R474" s="93" t="n"/>
      <c r="S474" s="93" t="n"/>
      <c r="T474" s="93" t="n"/>
    </row>
    <row r="475" ht="12.75" customHeight="1" s="111">
      <c r="A475" s="93" t="n"/>
      <c r="B475" s="93" t="n"/>
      <c r="C475" s="93" t="n"/>
      <c r="D475" s="93" t="n"/>
      <c r="E475" s="93" t="n"/>
      <c r="F475" s="93" t="n"/>
      <c r="G475" s="93" t="n"/>
      <c r="H475" s="93" t="n"/>
      <c r="I475" s="93" t="n"/>
      <c r="J475" s="93" t="n"/>
      <c r="K475" s="93" t="n"/>
      <c r="L475" s="93" t="n"/>
      <c r="M475" s="93" t="n"/>
      <c r="N475" s="93" t="n"/>
      <c r="O475" s="93" t="n"/>
      <c r="P475" s="93" t="n"/>
      <c r="Q475" s="93" t="n"/>
      <c r="R475" s="93" t="n"/>
      <c r="S475" s="93" t="n"/>
      <c r="T475" s="93" t="n"/>
    </row>
    <row r="476" ht="12.75" customHeight="1" s="111">
      <c r="A476" s="93" t="n"/>
      <c r="B476" s="93" t="n"/>
      <c r="C476" s="93" t="n"/>
      <c r="D476" s="93" t="n"/>
      <c r="E476" s="93" t="n"/>
      <c r="F476" s="93" t="n"/>
      <c r="G476" s="93" t="n"/>
      <c r="H476" s="93" t="n"/>
      <c r="I476" s="93" t="n"/>
      <c r="J476" s="93" t="n"/>
      <c r="K476" s="93" t="n"/>
      <c r="L476" s="93" t="n"/>
      <c r="M476" s="93" t="n"/>
      <c r="N476" s="93" t="n"/>
      <c r="O476" s="93" t="n"/>
      <c r="P476" s="93" t="n"/>
      <c r="Q476" s="93" t="n"/>
      <c r="R476" s="93" t="n"/>
      <c r="S476" s="93" t="n"/>
      <c r="T476" s="93" t="n"/>
    </row>
    <row r="477" ht="12.75" customHeight="1" s="111">
      <c r="A477" s="93" t="n"/>
      <c r="B477" s="93" t="n"/>
      <c r="C477" s="93" t="n"/>
      <c r="D477" s="93" t="n"/>
      <c r="E477" s="93" t="n"/>
      <c r="F477" s="93" t="n"/>
      <c r="G477" s="93" t="n"/>
      <c r="H477" s="93" t="n"/>
      <c r="I477" s="93" t="n"/>
      <c r="J477" s="93" t="n"/>
      <c r="K477" s="93" t="n"/>
      <c r="L477" s="93" t="n"/>
      <c r="M477" s="93" t="n"/>
      <c r="N477" s="93" t="n"/>
      <c r="O477" s="93" t="n"/>
      <c r="P477" s="93" t="n"/>
      <c r="Q477" s="93" t="n"/>
      <c r="R477" s="93" t="n"/>
      <c r="S477" s="93" t="n"/>
      <c r="T477" s="93" t="n"/>
    </row>
    <row r="478" ht="12.75" customHeight="1" s="111">
      <c r="A478" s="93" t="n"/>
      <c r="B478" s="93" t="n"/>
      <c r="C478" s="93" t="n"/>
      <c r="D478" s="93" t="n"/>
      <c r="E478" s="93" t="n"/>
      <c r="F478" s="93" t="n"/>
      <c r="G478" s="93" t="n"/>
      <c r="H478" s="93" t="n"/>
      <c r="I478" s="93" t="n"/>
      <c r="J478" s="93" t="n"/>
      <c r="K478" s="93" t="n"/>
      <c r="L478" s="93" t="n"/>
      <c r="M478" s="93" t="n"/>
      <c r="N478" s="93" t="n"/>
      <c r="O478" s="93" t="n"/>
      <c r="P478" s="93" t="n"/>
      <c r="Q478" s="93" t="n"/>
      <c r="R478" s="93" t="n"/>
      <c r="S478" s="93" t="n"/>
      <c r="T478" s="93" t="n"/>
    </row>
    <row r="479" ht="12.75" customHeight="1" s="111">
      <c r="A479" s="93" t="n"/>
      <c r="B479" s="93" t="n"/>
      <c r="C479" s="93" t="n"/>
      <c r="D479" s="93" t="n"/>
      <c r="E479" s="93" t="n"/>
      <c r="F479" s="93" t="n"/>
      <c r="G479" s="93" t="n"/>
      <c r="H479" s="93" t="n"/>
      <c r="I479" s="93" t="n"/>
      <c r="J479" s="93" t="n"/>
      <c r="K479" s="93" t="n"/>
      <c r="L479" s="93" t="n"/>
      <c r="M479" s="93" t="n"/>
      <c r="N479" s="93" t="n"/>
      <c r="O479" s="93" t="n"/>
      <c r="P479" s="93" t="n"/>
      <c r="Q479" s="93" t="n"/>
      <c r="R479" s="93" t="n"/>
      <c r="S479" s="93" t="n"/>
      <c r="T479" s="93" t="n"/>
    </row>
    <row r="480" ht="12.75" customHeight="1" s="111">
      <c r="A480" s="93" t="n"/>
      <c r="B480" s="93" t="n"/>
      <c r="C480" s="93" t="n"/>
      <c r="D480" s="93" t="n"/>
      <c r="E480" s="93" t="n"/>
      <c r="F480" s="93" t="n"/>
      <c r="G480" s="93" t="n"/>
      <c r="H480" s="93" t="n"/>
      <c r="I480" s="93" t="n"/>
      <c r="J480" s="93" t="n"/>
      <c r="K480" s="93" t="n"/>
      <c r="L480" s="93" t="n"/>
      <c r="M480" s="93" t="n"/>
      <c r="N480" s="93" t="n"/>
      <c r="O480" s="93" t="n"/>
      <c r="P480" s="93" t="n"/>
      <c r="Q480" s="93" t="n"/>
      <c r="R480" s="93" t="n"/>
      <c r="S480" s="93" t="n"/>
      <c r="T480" s="93" t="n"/>
    </row>
    <row r="481" ht="12.75" customHeight="1" s="111">
      <c r="A481" s="93" t="n"/>
      <c r="B481" s="93" t="n"/>
      <c r="C481" s="93" t="n"/>
      <c r="D481" s="93" t="n"/>
      <c r="E481" s="93" t="n"/>
      <c r="F481" s="93" t="n"/>
      <c r="G481" s="93" t="n"/>
      <c r="H481" s="93" t="n"/>
      <c r="I481" s="93" t="n"/>
      <c r="J481" s="93" t="n"/>
      <c r="K481" s="93" t="n"/>
      <c r="L481" s="93" t="n"/>
      <c r="M481" s="93" t="n"/>
      <c r="N481" s="93" t="n"/>
      <c r="O481" s="93" t="n"/>
      <c r="P481" s="93" t="n"/>
      <c r="Q481" s="93" t="n"/>
      <c r="R481" s="93" t="n"/>
      <c r="S481" s="93" t="n"/>
      <c r="T481" s="93" t="n"/>
    </row>
    <row r="482" ht="12.75" customHeight="1" s="111">
      <c r="A482" s="93" t="n"/>
      <c r="B482" s="93" t="n"/>
      <c r="C482" s="93" t="n"/>
      <c r="D482" s="93" t="n"/>
      <c r="E482" s="93" t="n"/>
      <c r="F482" s="93" t="n"/>
      <c r="G482" s="93" t="n"/>
      <c r="H482" s="93" t="n"/>
      <c r="I482" s="93" t="n"/>
      <c r="J482" s="93" t="n"/>
      <c r="K482" s="93" t="n"/>
      <c r="L482" s="93" t="n"/>
      <c r="M482" s="93" t="n"/>
      <c r="N482" s="93" t="n"/>
      <c r="O482" s="93" t="n"/>
      <c r="P482" s="93" t="n"/>
      <c r="Q482" s="93" t="n"/>
      <c r="R482" s="93" t="n"/>
      <c r="S482" s="93" t="n"/>
      <c r="T482" s="93" t="n"/>
    </row>
    <row r="483" ht="12.75" customHeight="1" s="111">
      <c r="A483" s="93" t="n"/>
      <c r="B483" s="93" t="n"/>
      <c r="C483" s="93" t="n"/>
      <c r="D483" s="93" t="n"/>
      <c r="E483" s="93" t="n"/>
      <c r="F483" s="93" t="n"/>
      <c r="G483" s="93" t="n"/>
      <c r="H483" s="93" t="n"/>
      <c r="I483" s="93" t="n"/>
      <c r="J483" s="93" t="n"/>
      <c r="K483" s="93" t="n"/>
      <c r="L483" s="93" t="n"/>
      <c r="M483" s="93" t="n"/>
      <c r="N483" s="93" t="n"/>
      <c r="O483" s="93" t="n"/>
      <c r="P483" s="93" t="n"/>
      <c r="Q483" s="93" t="n"/>
      <c r="R483" s="93" t="n"/>
      <c r="S483" s="93" t="n"/>
      <c r="T483" s="93" t="n"/>
    </row>
    <row r="484" ht="12.75" customHeight="1" s="111">
      <c r="A484" s="93" t="n"/>
      <c r="B484" s="93" t="n"/>
      <c r="C484" s="93" t="n"/>
      <c r="D484" s="93" t="n"/>
      <c r="E484" s="93" t="n"/>
      <c r="F484" s="93" t="n"/>
      <c r="G484" s="93" t="n"/>
      <c r="H484" s="93" t="n"/>
      <c r="I484" s="93" t="n"/>
      <c r="J484" s="93" t="n"/>
      <c r="K484" s="93" t="n"/>
      <c r="L484" s="93" t="n"/>
      <c r="M484" s="93" t="n"/>
      <c r="N484" s="93" t="n"/>
      <c r="O484" s="93" t="n"/>
      <c r="P484" s="93" t="n"/>
      <c r="Q484" s="93" t="n"/>
      <c r="R484" s="93" t="n"/>
      <c r="S484" s="93" t="n"/>
      <c r="T484" s="93" t="n"/>
    </row>
    <row r="485" ht="12.75" customHeight="1" s="111">
      <c r="A485" s="93" t="n"/>
      <c r="B485" s="93" t="n"/>
      <c r="C485" s="93" t="n"/>
      <c r="D485" s="93" t="n"/>
      <c r="E485" s="93" t="n"/>
      <c r="F485" s="93" t="n"/>
      <c r="G485" s="93" t="n"/>
      <c r="H485" s="93" t="n"/>
      <c r="I485" s="93" t="n"/>
      <c r="J485" s="93" t="n"/>
      <c r="K485" s="93" t="n"/>
      <c r="L485" s="93" t="n"/>
      <c r="M485" s="93" t="n"/>
      <c r="N485" s="93" t="n"/>
      <c r="O485" s="93" t="n"/>
      <c r="P485" s="93" t="n"/>
      <c r="Q485" s="93" t="n"/>
      <c r="R485" s="93" t="n"/>
      <c r="S485" s="93" t="n"/>
      <c r="T485" s="93" t="n"/>
    </row>
    <row r="486" ht="12.75" customHeight="1" s="111">
      <c r="A486" s="93" t="n"/>
      <c r="B486" s="93" t="n"/>
      <c r="C486" s="93" t="n"/>
      <c r="D486" s="93" t="n"/>
      <c r="E486" s="93" t="n"/>
      <c r="F486" s="93" t="n"/>
      <c r="G486" s="93" t="n"/>
      <c r="H486" s="93" t="n"/>
      <c r="I486" s="93" t="n"/>
      <c r="J486" s="93" t="n"/>
      <c r="K486" s="93" t="n"/>
      <c r="L486" s="93" t="n"/>
      <c r="M486" s="93" t="n"/>
      <c r="N486" s="93" t="n"/>
      <c r="O486" s="93" t="n"/>
      <c r="P486" s="93" t="n"/>
      <c r="Q486" s="93" t="n"/>
      <c r="R486" s="93" t="n"/>
      <c r="S486" s="93" t="n"/>
      <c r="T486" s="93" t="n"/>
    </row>
    <row r="487" ht="12.75" customHeight="1" s="111">
      <c r="A487" s="93" t="n"/>
      <c r="B487" s="93" t="n"/>
      <c r="C487" s="93" t="n"/>
      <c r="D487" s="93" t="n"/>
      <c r="E487" s="93" t="n"/>
      <c r="F487" s="93" t="n"/>
      <c r="G487" s="93" t="n"/>
      <c r="H487" s="93" t="n"/>
      <c r="I487" s="93" t="n"/>
      <c r="J487" s="93" t="n"/>
      <c r="K487" s="93" t="n"/>
      <c r="L487" s="93" t="n"/>
      <c r="M487" s="93" t="n"/>
      <c r="N487" s="93" t="n"/>
      <c r="O487" s="93" t="n"/>
      <c r="P487" s="93" t="n"/>
      <c r="Q487" s="93" t="n"/>
      <c r="R487" s="93" t="n"/>
      <c r="S487" s="93" t="n"/>
      <c r="T487" s="93" t="n"/>
    </row>
    <row r="488" ht="12.75" customHeight="1" s="111">
      <c r="A488" s="93" t="n"/>
      <c r="B488" s="93" t="n"/>
      <c r="C488" s="93" t="n"/>
      <c r="D488" s="93" t="n"/>
      <c r="E488" s="93" t="n"/>
      <c r="F488" s="93" t="n"/>
      <c r="G488" s="93" t="n"/>
      <c r="H488" s="93" t="n"/>
      <c r="I488" s="93" t="n"/>
      <c r="J488" s="93" t="n"/>
      <c r="K488" s="93" t="n"/>
      <c r="L488" s="93" t="n"/>
      <c r="M488" s="93" t="n"/>
      <c r="N488" s="93" t="n"/>
      <c r="O488" s="93" t="n"/>
      <c r="P488" s="93" t="n"/>
      <c r="Q488" s="93" t="n"/>
      <c r="R488" s="93" t="n"/>
      <c r="S488" s="93" t="n"/>
      <c r="T488" s="93" t="n"/>
    </row>
    <row r="489" ht="12.75" customHeight="1" s="111">
      <c r="A489" s="93" t="n"/>
      <c r="B489" s="93" t="n"/>
      <c r="C489" s="93" t="n"/>
      <c r="D489" s="93" t="n"/>
      <c r="E489" s="93" t="n"/>
      <c r="F489" s="93" t="n"/>
      <c r="G489" s="93" t="n"/>
      <c r="H489" s="93" t="n"/>
      <c r="I489" s="93" t="n"/>
      <c r="J489" s="93" t="n"/>
      <c r="K489" s="93" t="n"/>
      <c r="L489" s="93" t="n"/>
      <c r="M489" s="93" t="n"/>
      <c r="N489" s="93" t="n"/>
      <c r="O489" s="93" t="n"/>
      <c r="P489" s="93" t="n"/>
      <c r="Q489" s="93" t="n"/>
      <c r="R489" s="93" t="n"/>
      <c r="S489" s="93" t="n"/>
      <c r="T489" s="93" t="n"/>
    </row>
    <row r="490" ht="12.75" customHeight="1" s="111">
      <c r="A490" s="93" t="n"/>
      <c r="B490" s="93" t="n"/>
      <c r="C490" s="93" t="n"/>
      <c r="D490" s="93" t="n"/>
      <c r="E490" s="93" t="n"/>
      <c r="F490" s="93" t="n"/>
      <c r="G490" s="93" t="n"/>
      <c r="H490" s="93" t="n"/>
      <c r="I490" s="93" t="n"/>
      <c r="J490" s="93" t="n"/>
      <c r="K490" s="93" t="n"/>
      <c r="L490" s="93" t="n"/>
      <c r="M490" s="93" t="n"/>
      <c r="N490" s="93" t="n"/>
      <c r="O490" s="93" t="n"/>
      <c r="P490" s="93" t="n"/>
      <c r="Q490" s="93" t="n"/>
      <c r="R490" s="93" t="n"/>
      <c r="S490" s="93" t="n"/>
      <c r="T490" s="93" t="n"/>
    </row>
    <row r="491" ht="12.75" customHeight="1" s="111">
      <c r="A491" s="93" t="n"/>
      <c r="B491" s="93" t="n"/>
      <c r="C491" s="93" t="n"/>
      <c r="D491" s="93" t="n"/>
      <c r="E491" s="93" t="n"/>
      <c r="F491" s="93" t="n"/>
      <c r="G491" s="93" t="n"/>
      <c r="H491" s="93" t="n"/>
      <c r="I491" s="93" t="n"/>
      <c r="J491" s="93" t="n"/>
      <c r="K491" s="93" t="n"/>
      <c r="L491" s="93" t="n"/>
      <c r="M491" s="93" t="n"/>
      <c r="N491" s="93" t="n"/>
      <c r="O491" s="93" t="n"/>
      <c r="P491" s="93" t="n"/>
      <c r="Q491" s="93" t="n"/>
      <c r="R491" s="93" t="n"/>
      <c r="S491" s="93" t="n"/>
      <c r="T491" s="93" t="n"/>
    </row>
    <row r="492" ht="12.75" customHeight="1" s="111">
      <c r="A492" s="93" t="n"/>
      <c r="B492" s="93" t="n"/>
      <c r="C492" s="93" t="n"/>
      <c r="D492" s="93" t="n"/>
      <c r="E492" s="93" t="n"/>
      <c r="F492" s="93" t="n"/>
      <c r="G492" s="93" t="n"/>
      <c r="H492" s="93" t="n"/>
      <c r="I492" s="93" t="n"/>
      <c r="J492" s="93" t="n"/>
      <c r="K492" s="93" t="n"/>
      <c r="L492" s="93" t="n"/>
      <c r="M492" s="93" t="n"/>
      <c r="N492" s="93" t="n"/>
      <c r="O492" s="93" t="n"/>
      <c r="P492" s="93" t="n"/>
      <c r="Q492" s="93" t="n"/>
      <c r="R492" s="93" t="n"/>
      <c r="S492" s="93" t="n"/>
      <c r="T492" s="93" t="n"/>
    </row>
    <row r="493" ht="12.75" customHeight="1" s="111">
      <c r="A493" s="93" t="n"/>
      <c r="B493" s="93" t="n"/>
      <c r="C493" s="93" t="n"/>
      <c r="D493" s="93" t="n"/>
      <c r="E493" s="93" t="n"/>
      <c r="F493" s="93" t="n"/>
      <c r="G493" s="93" t="n"/>
      <c r="H493" s="93" t="n"/>
      <c r="I493" s="93" t="n"/>
      <c r="J493" s="93" t="n"/>
      <c r="K493" s="93" t="n"/>
      <c r="L493" s="93" t="n"/>
      <c r="M493" s="93" t="n"/>
      <c r="N493" s="93" t="n"/>
      <c r="O493" s="93" t="n"/>
      <c r="P493" s="93" t="n"/>
      <c r="Q493" s="93" t="n"/>
      <c r="R493" s="93" t="n"/>
      <c r="S493" s="93" t="n"/>
      <c r="T493" s="93" t="n"/>
    </row>
    <row r="494" ht="12.75" customHeight="1" s="111">
      <c r="A494" s="93" t="n"/>
      <c r="B494" s="93" t="n"/>
      <c r="C494" s="93" t="n"/>
      <c r="D494" s="93" t="n"/>
      <c r="E494" s="93" t="n"/>
      <c r="F494" s="93" t="n"/>
      <c r="G494" s="93" t="n"/>
      <c r="H494" s="93" t="n"/>
      <c r="I494" s="93" t="n"/>
      <c r="J494" s="93" t="n"/>
      <c r="K494" s="93" t="n"/>
      <c r="L494" s="93" t="n"/>
      <c r="M494" s="93" t="n"/>
      <c r="N494" s="93" t="n"/>
      <c r="O494" s="93" t="n"/>
      <c r="P494" s="93" t="n"/>
      <c r="Q494" s="93" t="n"/>
      <c r="R494" s="93" t="n"/>
      <c r="S494" s="93" t="n"/>
      <c r="T494" s="93" t="n"/>
    </row>
    <row r="495" ht="12.75" customHeight="1" s="111">
      <c r="A495" s="93" t="n"/>
      <c r="B495" s="93" t="n"/>
      <c r="C495" s="93" t="n"/>
      <c r="D495" s="93" t="n"/>
      <c r="E495" s="93" t="n"/>
      <c r="F495" s="93" t="n"/>
      <c r="G495" s="93" t="n"/>
      <c r="H495" s="93" t="n"/>
      <c r="I495" s="93" t="n"/>
      <c r="J495" s="93" t="n"/>
      <c r="K495" s="93" t="n"/>
      <c r="L495" s="93" t="n"/>
      <c r="M495" s="93" t="n"/>
      <c r="N495" s="93" t="n"/>
      <c r="O495" s="93" t="n"/>
      <c r="P495" s="93" t="n"/>
      <c r="Q495" s="93" t="n"/>
      <c r="R495" s="93" t="n"/>
      <c r="S495" s="93" t="n"/>
      <c r="T495" s="93" t="n"/>
    </row>
    <row r="496" ht="12.75" customHeight="1" s="111">
      <c r="A496" s="93" t="n"/>
      <c r="B496" s="93" t="n"/>
      <c r="C496" s="93" t="n"/>
      <c r="D496" s="93" t="n"/>
      <c r="E496" s="93" t="n"/>
      <c r="F496" s="93" t="n"/>
      <c r="G496" s="93" t="n"/>
      <c r="H496" s="93" t="n"/>
      <c r="I496" s="93" t="n"/>
      <c r="J496" s="93" t="n"/>
      <c r="K496" s="93" t="n"/>
      <c r="L496" s="93" t="n"/>
      <c r="M496" s="93" t="n"/>
      <c r="N496" s="93" t="n"/>
      <c r="O496" s="93" t="n"/>
      <c r="P496" s="93" t="n"/>
      <c r="Q496" s="93" t="n"/>
      <c r="R496" s="93" t="n"/>
      <c r="S496" s="93" t="n"/>
      <c r="T496" s="93" t="n"/>
    </row>
    <row r="497" ht="12.75" customHeight="1" s="111">
      <c r="A497" s="93" t="n"/>
      <c r="B497" s="93" t="n"/>
      <c r="C497" s="93" t="n"/>
      <c r="D497" s="93" t="n"/>
      <c r="E497" s="93" t="n"/>
      <c r="F497" s="93" t="n"/>
      <c r="G497" s="93" t="n"/>
      <c r="H497" s="93" t="n"/>
      <c r="I497" s="93" t="n"/>
      <c r="J497" s="93" t="n"/>
      <c r="K497" s="93" t="n"/>
      <c r="L497" s="93" t="n"/>
      <c r="M497" s="93" t="n"/>
      <c r="N497" s="93" t="n"/>
      <c r="O497" s="93" t="n"/>
      <c r="P497" s="93" t="n"/>
      <c r="Q497" s="93" t="n"/>
      <c r="R497" s="93" t="n"/>
      <c r="S497" s="93" t="n"/>
      <c r="T497" s="93" t="n"/>
    </row>
    <row r="498" ht="12.75" customHeight="1" s="111">
      <c r="A498" s="93" t="n"/>
      <c r="B498" s="93" t="n"/>
      <c r="C498" s="93" t="n"/>
      <c r="D498" s="93" t="n"/>
      <c r="E498" s="93" t="n"/>
      <c r="F498" s="93" t="n"/>
      <c r="G498" s="93" t="n"/>
      <c r="H498" s="93" t="n"/>
      <c r="I498" s="93" t="n"/>
      <c r="J498" s="93" t="n"/>
      <c r="K498" s="93" t="n"/>
      <c r="L498" s="93" t="n"/>
      <c r="M498" s="93" t="n"/>
      <c r="N498" s="93" t="n"/>
      <c r="O498" s="93" t="n"/>
      <c r="P498" s="93" t="n"/>
      <c r="Q498" s="93" t="n"/>
      <c r="R498" s="93" t="n"/>
      <c r="S498" s="93" t="n"/>
      <c r="T498" s="93" t="n"/>
    </row>
    <row r="499" ht="12.75" customHeight="1" s="111">
      <c r="A499" s="93" t="n"/>
      <c r="B499" s="93" t="n"/>
      <c r="C499" s="93" t="n"/>
      <c r="D499" s="93" t="n"/>
      <c r="E499" s="93" t="n"/>
      <c r="F499" s="93" t="n"/>
      <c r="G499" s="93" t="n"/>
      <c r="H499" s="93" t="n"/>
      <c r="I499" s="93" t="n"/>
      <c r="J499" s="93" t="n"/>
      <c r="K499" s="93" t="n"/>
      <c r="L499" s="93" t="n"/>
      <c r="M499" s="93" t="n"/>
      <c r="N499" s="93" t="n"/>
      <c r="O499" s="93" t="n"/>
      <c r="P499" s="93" t="n"/>
      <c r="Q499" s="93" t="n"/>
      <c r="R499" s="93" t="n"/>
      <c r="S499" s="93" t="n"/>
      <c r="T499" s="93" t="n"/>
    </row>
    <row r="500" ht="12.75" customHeight="1" s="111">
      <c r="A500" s="93" t="n"/>
      <c r="B500" s="93" t="n"/>
      <c r="C500" s="93" t="n"/>
      <c r="D500" s="93" t="n"/>
      <c r="E500" s="93" t="n"/>
      <c r="F500" s="93" t="n"/>
      <c r="G500" s="93" t="n"/>
      <c r="H500" s="93" t="n"/>
      <c r="I500" s="93" t="n"/>
      <c r="J500" s="93" t="n"/>
      <c r="K500" s="93" t="n"/>
      <c r="L500" s="93" t="n"/>
      <c r="M500" s="93" t="n"/>
      <c r="N500" s="93" t="n"/>
      <c r="O500" s="93" t="n"/>
      <c r="P500" s="93" t="n"/>
      <c r="Q500" s="93" t="n"/>
      <c r="R500" s="93" t="n"/>
      <c r="S500" s="93" t="n"/>
      <c r="T500" s="93" t="n"/>
    </row>
    <row r="501" ht="12.75" customHeight="1" s="111">
      <c r="A501" s="93" t="n"/>
      <c r="B501" s="93" t="n"/>
      <c r="C501" s="93" t="n"/>
      <c r="D501" s="93" t="n"/>
      <c r="E501" s="93" t="n"/>
      <c r="F501" s="93" t="n"/>
      <c r="G501" s="93" t="n"/>
      <c r="H501" s="93" t="n"/>
      <c r="I501" s="93" t="n"/>
      <c r="J501" s="93" t="n"/>
      <c r="K501" s="93" t="n"/>
      <c r="L501" s="93" t="n"/>
      <c r="M501" s="93" t="n"/>
      <c r="N501" s="93" t="n"/>
      <c r="O501" s="93" t="n"/>
      <c r="P501" s="93" t="n"/>
      <c r="Q501" s="93" t="n"/>
      <c r="R501" s="93" t="n"/>
      <c r="S501" s="93" t="n"/>
      <c r="T501" s="93" t="n"/>
    </row>
    <row r="502" ht="12.75" customHeight="1" s="111">
      <c r="A502" s="93" t="n"/>
      <c r="B502" s="93" t="n"/>
      <c r="C502" s="93" t="n"/>
      <c r="D502" s="93" t="n"/>
      <c r="E502" s="93" t="n"/>
      <c r="F502" s="93" t="n"/>
      <c r="G502" s="93" t="n"/>
      <c r="H502" s="93" t="n"/>
      <c r="I502" s="93" t="n"/>
      <c r="J502" s="93" t="n"/>
      <c r="K502" s="93" t="n"/>
      <c r="L502" s="93" t="n"/>
      <c r="M502" s="93" t="n"/>
      <c r="N502" s="93" t="n"/>
      <c r="O502" s="93" t="n"/>
      <c r="P502" s="93" t="n"/>
      <c r="Q502" s="93" t="n"/>
      <c r="R502" s="93" t="n"/>
      <c r="S502" s="93" t="n"/>
      <c r="T502" s="93" t="n"/>
    </row>
    <row r="503" ht="12.75" customHeight="1" s="111">
      <c r="A503" s="93" t="n"/>
      <c r="B503" s="93" t="n"/>
      <c r="C503" s="93" t="n"/>
      <c r="D503" s="93" t="n"/>
      <c r="E503" s="93" t="n"/>
      <c r="F503" s="93" t="n"/>
      <c r="G503" s="93" t="n"/>
      <c r="H503" s="93" t="n"/>
      <c r="I503" s="93" t="n"/>
      <c r="J503" s="93" t="n"/>
      <c r="K503" s="93" t="n"/>
      <c r="L503" s="93" t="n"/>
      <c r="M503" s="93" t="n"/>
      <c r="N503" s="93" t="n"/>
      <c r="O503" s="93" t="n"/>
      <c r="P503" s="93" t="n"/>
      <c r="Q503" s="93" t="n"/>
      <c r="R503" s="93" t="n"/>
      <c r="S503" s="93" t="n"/>
      <c r="T503" s="93" t="n"/>
    </row>
    <row r="504" ht="12.75" customHeight="1" s="111">
      <c r="A504" s="93" t="n"/>
      <c r="B504" s="93" t="n"/>
      <c r="C504" s="93" t="n"/>
      <c r="D504" s="93" t="n"/>
      <c r="E504" s="93" t="n"/>
      <c r="F504" s="93" t="n"/>
      <c r="G504" s="93" t="n"/>
      <c r="H504" s="93" t="n"/>
      <c r="I504" s="93" t="n"/>
      <c r="J504" s="93" t="n"/>
      <c r="K504" s="93" t="n"/>
      <c r="L504" s="93" t="n"/>
      <c r="M504" s="93" t="n"/>
      <c r="N504" s="93" t="n"/>
      <c r="O504" s="93" t="n"/>
      <c r="P504" s="93" t="n"/>
      <c r="Q504" s="93" t="n"/>
      <c r="R504" s="93" t="n"/>
      <c r="S504" s="93" t="n"/>
      <c r="T504" s="93" t="n"/>
    </row>
    <row r="505" ht="12.75" customHeight="1" s="111">
      <c r="A505" s="93" t="n"/>
      <c r="B505" s="93" t="n"/>
      <c r="C505" s="93" t="n"/>
      <c r="D505" s="93" t="n"/>
      <c r="E505" s="93" t="n"/>
      <c r="F505" s="93" t="n"/>
      <c r="G505" s="93" t="n"/>
      <c r="H505" s="93" t="n"/>
      <c r="I505" s="93" t="n"/>
      <c r="J505" s="93" t="n"/>
      <c r="K505" s="93" t="n"/>
      <c r="L505" s="93" t="n"/>
      <c r="M505" s="93" t="n"/>
      <c r="N505" s="93" t="n"/>
      <c r="O505" s="93" t="n"/>
      <c r="P505" s="93" t="n"/>
      <c r="Q505" s="93" t="n"/>
      <c r="R505" s="93" t="n"/>
      <c r="S505" s="93" t="n"/>
      <c r="T505" s="93" t="n"/>
    </row>
    <row r="506" ht="12.75" customHeight="1" s="111">
      <c r="A506" s="93" t="n"/>
      <c r="B506" s="93" t="n"/>
      <c r="C506" s="93" t="n"/>
      <c r="D506" s="93" t="n"/>
      <c r="E506" s="93" t="n"/>
      <c r="F506" s="93" t="n"/>
      <c r="G506" s="93" t="n"/>
      <c r="H506" s="93" t="n"/>
      <c r="I506" s="93" t="n"/>
      <c r="J506" s="93" t="n"/>
      <c r="K506" s="93" t="n"/>
      <c r="L506" s="93" t="n"/>
      <c r="M506" s="93" t="n"/>
      <c r="N506" s="93" t="n"/>
      <c r="O506" s="93" t="n"/>
      <c r="P506" s="93" t="n"/>
      <c r="Q506" s="93" t="n"/>
      <c r="R506" s="93" t="n"/>
      <c r="S506" s="93" t="n"/>
      <c r="T506" s="93" t="n"/>
    </row>
    <row r="507" ht="12.75" customHeight="1" s="111">
      <c r="A507" s="93" t="n"/>
      <c r="B507" s="93" t="n"/>
      <c r="C507" s="93" t="n"/>
      <c r="D507" s="93" t="n"/>
      <c r="E507" s="93" t="n"/>
      <c r="F507" s="93" t="n"/>
      <c r="G507" s="93" t="n"/>
      <c r="H507" s="93" t="n"/>
      <c r="I507" s="93" t="n"/>
      <c r="J507" s="93" t="n"/>
      <c r="K507" s="93" t="n"/>
      <c r="L507" s="93" t="n"/>
      <c r="M507" s="93" t="n"/>
      <c r="N507" s="93" t="n"/>
      <c r="O507" s="93" t="n"/>
      <c r="P507" s="93" t="n"/>
      <c r="Q507" s="93" t="n"/>
      <c r="R507" s="93" t="n"/>
      <c r="S507" s="93" t="n"/>
      <c r="T507" s="93" t="n"/>
    </row>
    <row r="508" ht="12.75" customHeight="1" s="111">
      <c r="A508" s="93" t="n"/>
      <c r="B508" s="93" t="n"/>
      <c r="C508" s="93" t="n"/>
      <c r="D508" s="93" t="n"/>
      <c r="E508" s="93" t="n"/>
      <c r="F508" s="93" t="n"/>
      <c r="G508" s="93" t="n"/>
      <c r="H508" s="93" t="n"/>
      <c r="I508" s="93" t="n"/>
      <c r="J508" s="93" t="n"/>
      <c r="K508" s="93" t="n"/>
      <c r="L508" s="93" t="n"/>
      <c r="M508" s="93" t="n"/>
      <c r="N508" s="93" t="n"/>
      <c r="O508" s="93" t="n"/>
      <c r="P508" s="93" t="n"/>
      <c r="Q508" s="93" t="n"/>
      <c r="R508" s="93" t="n"/>
      <c r="S508" s="93" t="n"/>
      <c r="T508" s="93" t="n"/>
    </row>
    <row r="509" ht="12.75" customHeight="1" s="111">
      <c r="A509" s="93" t="n"/>
      <c r="B509" s="93" t="n"/>
      <c r="C509" s="93" t="n"/>
      <c r="D509" s="93" t="n"/>
      <c r="E509" s="93" t="n"/>
      <c r="F509" s="93" t="n"/>
      <c r="G509" s="93" t="n"/>
      <c r="H509" s="93" t="n"/>
      <c r="I509" s="93" t="n"/>
      <c r="J509" s="93" t="n"/>
      <c r="K509" s="93" t="n"/>
      <c r="L509" s="93" t="n"/>
      <c r="M509" s="93" t="n"/>
      <c r="N509" s="93" t="n"/>
      <c r="O509" s="93" t="n"/>
      <c r="P509" s="93" t="n"/>
      <c r="Q509" s="93" t="n"/>
      <c r="R509" s="93" t="n"/>
      <c r="S509" s="93" t="n"/>
      <c r="T509" s="93" t="n"/>
    </row>
    <row r="510" ht="12.75" customHeight="1" s="111">
      <c r="A510" s="93" t="n"/>
      <c r="B510" s="93" t="n"/>
      <c r="C510" s="93" t="n"/>
      <c r="D510" s="93" t="n"/>
      <c r="E510" s="93" t="n"/>
      <c r="F510" s="93" t="n"/>
      <c r="G510" s="93" t="n"/>
      <c r="H510" s="93" t="n"/>
      <c r="I510" s="93" t="n"/>
      <c r="J510" s="93" t="n"/>
      <c r="K510" s="93" t="n"/>
      <c r="L510" s="93" t="n"/>
      <c r="M510" s="93" t="n"/>
      <c r="N510" s="93" t="n"/>
      <c r="O510" s="93" t="n"/>
      <c r="P510" s="93" t="n"/>
      <c r="Q510" s="93" t="n"/>
      <c r="R510" s="93" t="n"/>
      <c r="S510" s="93" t="n"/>
      <c r="T510" s="93" t="n"/>
    </row>
    <row r="511" ht="12.75" customHeight="1" s="111">
      <c r="A511" s="93" t="n"/>
      <c r="B511" s="93" t="n"/>
      <c r="C511" s="93" t="n"/>
      <c r="D511" s="93" t="n"/>
      <c r="E511" s="93" t="n"/>
      <c r="F511" s="93" t="n"/>
      <c r="G511" s="93" t="n"/>
      <c r="H511" s="93" t="n"/>
      <c r="I511" s="93" t="n"/>
      <c r="J511" s="93" t="n"/>
      <c r="K511" s="93" t="n"/>
      <c r="L511" s="93" t="n"/>
      <c r="M511" s="93" t="n"/>
      <c r="N511" s="93" t="n"/>
      <c r="O511" s="93" t="n"/>
      <c r="P511" s="93" t="n"/>
      <c r="Q511" s="93" t="n"/>
      <c r="R511" s="93" t="n"/>
      <c r="S511" s="93" t="n"/>
      <c r="T511" s="93" t="n"/>
    </row>
    <row r="512" ht="12.75" customHeight="1" s="111">
      <c r="A512" s="93" t="n"/>
      <c r="B512" s="93" t="n"/>
      <c r="C512" s="93" t="n"/>
      <c r="D512" s="93" t="n"/>
      <c r="E512" s="93" t="n"/>
      <c r="F512" s="93" t="n"/>
      <c r="G512" s="93" t="n"/>
      <c r="H512" s="93" t="n"/>
      <c r="I512" s="93" t="n"/>
      <c r="J512" s="93" t="n"/>
      <c r="K512" s="93" t="n"/>
      <c r="L512" s="93" t="n"/>
      <c r="M512" s="93" t="n"/>
      <c r="N512" s="93" t="n"/>
      <c r="O512" s="93" t="n"/>
      <c r="P512" s="93" t="n"/>
      <c r="Q512" s="93" t="n"/>
      <c r="R512" s="93" t="n"/>
      <c r="S512" s="93" t="n"/>
      <c r="T512" s="93" t="n"/>
    </row>
    <row r="513" ht="12.75" customHeight="1" s="111">
      <c r="A513" s="93" t="n"/>
      <c r="B513" s="93" t="n"/>
      <c r="C513" s="93" t="n"/>
      <c r="D513" s="93" t="n"/>
      <c r="E513" s="93" t="n"/>
      <c r="F513" s="93" t="n"/>
      <c r="G513" s="93" t="n"/>
      <c r="H513" s="93" t="n"/>
      <c r="I513" s="93" t="n"/>
      <c r="J513" s="93" t="n"/>
      <c r="K513" s="93" t="n"/>
      <c r="L513" s="93" t="n"/>
      <c r="M513" s="93" t="n"/>
      <c r="N513" s="93" t="n"/>
      <c r="O513" s="93" t="n"/>
      <c r="P513" s="93" t="n"/>
      <c r="Q513" s="93" t="n"/>
      <c r="R513" s="93" t="n"/>
      <c r="S513" s="93" t="n"/>
      <c r="T513" s="93" t="n"/>
    </row>
    <row r="514" ht="12.75" customHeight="1" s="111">
      <c r="A514" s="93" t="n"/>
      <c r="B514" s="93" t="n"/>
      <c r="C514" s="93" t="n"/>
      <c r="D514" s="93" t="n"/>
      <c r="E514" s="93" t="n"/>
      <c r="F514" s="93" t="n"/>
      <c r="G514" s="93" t="n"/>
      <c r="H514" s="93" t="n"/>
      <c r="I514" s="93" t="n"/>
      <c r="J514" s="93" t="n"/>
      <c r="K514" s="93" t="n"/>
      <c r="L514" s="93" t="n"/>
      <c r="M514" s="93" t="n"/>
      <c r="N514" s="93" t="n"/>
      <c r="O514" s="93" t="n"/>
      <c r="P514" s="93" t="n"/>
      <c r="Q514" s="93" t="n"/>
      <c r="R514" s="93" t="n"/>
      <c r="S514" s="93" t="n"/>
      <c r="T514" s="93" t="n"/>
    </row>
    <row r="515" ht="12.75" customHeight="1" s="111">
      <c r="A515" s="93" t="n"/>
      <c r="B515" s="93" t="n"/>
      <c r="C515" s="93" t="n"/>
      <c r="D515" s="93" t="n"/>
      <c r="E515" s="93" t="n"/>
      <c r="F515" s="93" t="n"/>
      <c r="G515" s="93" t="n"/>
      <c r="H515" s="93" t="n"/>
      <c r="I515" s="93" t="n"/>
      <c r="J515" s="93" t="n"/>
      <c r="K515" s="93" t="n"/>
      <c r="L515" s="93" t="n"/>
      <c r="M515" s="93" t="n"/>
      <c r="N515" s="93" t="n"/>
      <c r="O515" s="93" t="n"/>
      <c r="P515" s="93" t="n"/>
      <c r="Q515" s="93" t="n"/>
      <c r="R515" s="93" t="n"/>
      <c r="S515" s="93" t="n"/>
      <c r="T515" s="93" t="n"/>
    </row>
    <row r="516" ht="12.75" customHeight="1" s="111">
      <c r="A516" s="93" t="n"/>
      <c r="B516" s="93" t="n"/>
      <c r="C516" s="93" t="n"/>
      <c r="D516" s="93" t="n"/>
      <c r="E516" s="93" t="n"/>
      <c r="F516" s="93" t="n"/>
      <c r="G516" s="93" t="n"/>
      <c r="H516" s="93" t="n"/>
      <c r="I516" s="93" t="n"/>
      <c r="J516" s="93" t="n"/>
      <c r="K516" s="93" t="n"/>
      <c r="L516" s="93" t="n"/>
      <c r="M516" s="93" t="n"/>
      <c r="N516" s="93" t="n"/>
      <c r="O516" s="93" t="n"/>
      <c r="P516" s="93" t="n"/>
      <c r="Q516" s="93" t="n"/>
      <c r="R516" s="93" t="n"/>
      <c r="S516" s="93" t="n"/>
      <c r="T516" s="93" t="n"/>
    </row>
    <row r="517" ht="12.75" customHeight="1" s="111">
      <c r="A517" s="93" t="n"/>
      <c r="B517" s="93" t="n"/>
      <c r="C517" s="93" t="n"/>
      <c r="D517" s="93" t="n"/>
      <c r="E517" s="93" t="n"/>
      <c r="F517" s="93" t="n"/>
      <c r="G517" s="93" t="n"/>
      <c r="H517" s="93" t="n"/>
      <c r="I517" s="93" t="n"/>
      <c r="J517" s="93" t="n"/>
      <c r="K517" s="93" t="n"/>
      <c r="L517" s="93" t="n"/>
      <c r="M517" s="93" t="n"/>
      <c r="N517" s="93" t="n"/>
      <c r="O517" s="93" t="n"/>
      <c r="P517" s="93" t="n"/>
      <c r="Q517" s="93" t="n"/>
      <c r="R517" s="93" t="n"/>
      <c r="S517" s="93" t="n"/>
      <c r="T517" s="93" t="n"/>
    </row>
    <row r="518" ht="12.75" customHeight="1" s="111">
      <c r="A518" s="93" t="n"/>
      <c r="B518" s="93" t="n"/>
      <c r="C518" s="93" t="n"/>
      <c r="D518" s="93" t="n"/>
      <c r="E518" s="93" t="n"/>
      <c r="F518" s="93" t="n"/>
      <c r="G518" s="93" t="n"/>
      <c r="H518" s="93" t="n"/>
      <c r="I518" s="93" t="n"/>
      <c r="J518" s="93" t="n"/>
      <c r="K518" s="93" t="n"/>
      <c r="L518" s="93" t="n"/>
      <c r="M518" s="93" t="n"/>
      <c r="N518" s="93" t="n"/>
      <c r="O518" s="93" t="n"/>
      <c r="P518" s="93" t="n"/>
      <c r="Q518" s="93" t="n"/>
      <c r="R518" s="93" t="n"/>
      <c r="S518" s="93" t="n"/>
      <c r="T518" s="93" t="n"/>
    </row>
    <row r="519" ht="12.75" customHeight="1" s="111">
      <c r="A519" s="93" t="n"/>
      <c r="B519" s="93" t="n"/>
      <c r="C519" s="93" t="n"/>
      <c r="D519" s="93" t="n"/>
      <c r="E519" s="93" t="n"/>
      <c r="F519" s="93" t="n"/>
      <c r="G519" s="93" t="n"/>
      <c r="H519" s="93" t="n"/>
      <c r="I519" s="93" t="n"/>
      <c r="J519" s="93" t="n"/>
      <c r="K519" s="93" t="n"/>
      <c r="L519" s="93" t="n"/>
      <c r="M519" s="93" t="n"/>
      <c r="N519" s="93" t="n"/>
      <c r="O519" s="93" t="n"/>
      <c r="P519" s="93" t="n"/>
      <c r="Q519" s="93" t="n"/>
      <c r="R519" s="93" t="n"/>
      <c r="S519" s="93" t="n"/>
      <c r="T519" s="93" t="n"/>
    </row>
    <row r="520" ht="12.75" customHeight="1" s="111">
      <c r="A520" s="93" t="n"/>
      <c r="B520" s="93" t="n"/>
      <c r="C520" s="93" t="n"/>
      <c r="D520" s="93" t="n"/>
      <c r="E520" s="93" t="n"/>
      <c r="F520" s="93" t="n"/>
      <c r="G520" s="93" t="n"/>
      <c r="H520" s="93" t="n"/>
      <c r="I520" s="93" t="n"/>
      <c r="J520" s="93" t="n"/>
      <c r="K520" s="93" t="n"/>
      <c r="L520" s="93" t="n"/>
      <c r="M520" s="93" t="n"/>
      <c r="N520" s="93" t="n"/>
      <c r="O520" s="93" t="n"/>
      <c r="P520" s="93" t="n"/>
      <c r="Q520" s="93" t="n"/>
      <c r="R520" s="93" t="n"/>
      <c r="S520" s="93" t="n"/>
      <c r="T520" s="93" t="n"/>
    </row>
    <row r="521" ht="12.75" customHeight="1" s="111">
      <c r="A521" s="93" t="n"/>
      <c r="B521" s="93" t="n"/>
      <c r="C521" s="93" t="n"/>
      <c r="D521" s="93" t="n"/>
      <c r="E521" s="93" t="n"/>
      <c r="F521" s="93" t="n"/>
      <c r="G521" s="93" t="n"/>
      <c r="H521" s="93" t="n"/>
      <c r="I521" s="93" t="n"/>
      <c r="J521" s="93" t="n"/>
      <c r="K521" s="93" t="n"/>
      <c r="L521" s="93" t="n"/>
      <c r="M521" s="93" t="n"/>
      <c r="N521" s="93" t="n"/>
      <c r="O521" s="93" t="n"/>
      <c r="P521" s="93" t="n"/>
      <c r="Q521" s="93" t="n"/>
      <c r="R521" s="93" t="n"/>
      <c r="S521" s="93" t="n"/>
      <c r="T521" s="93" t="n"/>
    </row>
    <row r="522" ht="12.75" customHeight="1" s="111">
      <c r="A522" s="93" t="n"/>
      <c r="B522" s="93" t="n"/>
      <c r="C522" s="93" t="n"/>
      <c r="D522" s="93" t="n"/>
      <c r="E522" s="93" t="n"/>
      <c r="F522" s="93" t="n"/>
      <c r="G522" s="93" t="n"/>
      <c r="H522" s="93" t="n"/>
      <c r="I522" s="93" t="n"/>
      <c r="J522" s="93" t="n"/>
      <c r="K522" s="93" t="n"/>
      <c r="L522" s="93" t="n"/>
      <c r="M522" s="93" t="n"/>
      <c r="N522" s="93" t="n"/>
      <c r="O522" s="93" t="n"/>
      <c r="P522" s="93" t="n"/>
      <c r="Q522" s="93" t="n"/>
      <c r="R522" s="93" t="n"/>
      <c r="S522" s="93" t="n"/>
      <c r="T522" s="93" t="n"/>
    </row>
    <row r="523" ht="12.75" customHeight="1" s="111">
      <c r="A523" s="93" t="n"/>
      <c r="B523" s="93" t="n"/>
      <c r="C523" s="93" t="n"/>
      <c r="D523" s="93" t="n"/>
      <c r="E523" s="93" t="n"/>
      <c r="F523" s="93" t="n"/>
      <c r="G523" s="93" t="n"/>
      <c r="H523" s="93" t="n"/>
      <c r="I523" s="93" t="n"/>
      <c r="J523" s="93" t="n"/>
      <c r="K523" s="93" t="n"/>
      <c r="L523" s="93" t="n"/>
      <c r="M523" s="93" t="n"/>
      <c r="N523" s="93" t="n"/>
      <c r="O523" s="93" t="n"/>
      <c r="P523" s="93" t="n"/>
      <c r="Q523" s="93" t="n"/>
      <c r="R523" s="93" t="n"/>
      <c r="S523" s="93" t="n"/>
      <c r="T523" s="93" t="n"/>
    </row>
    <row r="524" ht="12.75" customHeight="1" s="111">
      <c r="A524" s="93" t="n"/>
      <c r="B524" s="93" t="n"/>
      <c r="C524" s="93" t="n"/>
      <c r="D524" s="93" t="n"/>
      <c r="E524" s="93" t="n"/>
      <c r="F524" s="93" t="n"/>
      <c r="G524" s="93" t="n"/>
      <c r="H524" s="93" t="n"/>
      <c r="I524" s="93" t="n"/>
      <c r="J524" s="93" t="n"/>
      <c r="K524" s="93" t="n"/>
      <c r="L524" s="93" t="n"/>
      <c r="M524" s="93" t="n"/>
      <c r="N524" s="93" t="n"/>
      <c r="O524" s="93" t="n"/>
      <c r="P524" s="93" t="n"/>
      <c r="Q524" s="93" t="n"/>
      <c r="R524" s="93" t="n"/>
      <c r="S524" s="93" t="n"/>
      <c r="T524" s="93" t="n"/>
    </row>
    <row r="525" ht="12.75" customHeight="1" s="111">
      <c r="A525" s="93" t="n"/>
      <c r="B525" s="93" t="n"/>
      <c r="C525" s="93" t="n"/>
      <c r="D525" s="93" t="n"/>
      <c r="E525" s="93" t="n"/>
      <c r="F525" s="93" t="n"/>
      <c r="G525" s="93" t="n"/>
      <c r="H525" s="93" t="n"/>
      <c r="I525" s="93" t="n"/>
      <c r="J525" s="93" t="n"/>
      <c r="K525" s="93" t="n"/>
      <c r="L525" s="93" t="n"/>
      <c r="M525" s="93" t="n"/>
      <c r="N525" s="93" t="n"/>
      <c r="O525" s="93" t="n"/>
      <c r="P525" s="93" t="n"/>
      <c r="Q525" s="93" t="n"/>
      <c r="R525" s="93" t="n"/>
      <c r="S525" s="93" t="n"/>
      <c r="T525" s="93" t="n"/>
    </row>
    <row r="526" ht="12.75" customHeight="1" s="111">
      <c r="A526" s="93" t="n"/>
      <c r="B526" s="93" t="n"/>
      <c r="C526" s="93" t="n"/>
      <c r="D526" s="93" t="n"/>
      <c r="E526" s="93" t="n"/>
      <c r="F526" s="93" t="n"/>
      <c r="G526" s="93" t="n"/>
      <c r="H526" s="93" t="n"/>
      <c r="I526" s="93" t="n"/>
      <c r="J526" s="93" t="n"/>
      <c r="K526" s="93" t="n"/>
      <c r="L526" s="93" t="n"/>
      <c r="M526" s="93" t="n"/>
      <c r="N526" s="93" t="n"/>
      <c r="O526" s="93" t="n"/>
      <c r="P526" s="93" t="n"/>
      <c r="Q526" s="93" t="n"/>
      <c r="R526" s="93" t="n"/>
      <c r="S526" s="93" t="n"/>
      <c r="T526" s="93" t="n"/>
    </row>
    <row r="527" ht="12.75" customHeight="1" s="111">
      <c r="A527" s="93" t="n"/>
      <c r="B527" s="93" t="n"/>
      <c r="C527" s="93" t="n"/>
      <c r="D527" s="93" t="n"/>
      <c r="E527" s="93" t="n"/>
      <c r="F527" s="93" t="n"/>
      <c r="G527" s="93" t="n"/>
      <c r="H527" s="93" t="n"/>
      <c r="I527" s="93" t="n"/>
      <c r="J527" s="93" t="n"/>
      <c r="K527" s="93" t="n"/>
      <c r="L527" s="93" t="n"/>
      <c r="M527" s="93" t="n"/>
      <c r="N527" s="93" t="n"/>
      <c r="O527" s="93" t="n"/>
      <c r="P527" s="93" t="n"/>
      <c r="Q527" s="93" t="n"/>
      <c r="R527" s="93" t="n"/>
      <c r="S527" s="93" t="n"/>
      <c r="T527" s="93" t="n"/>
    </row>
    <row r="528" ht="12.75" customHeight="1" s="111">
      <c r="A528" s="93" t="n"/>
      <c r="B528" s="93" t="n"/>
      <c r="C528" s="93" t="n"/>
      <c r="D528" s="93" t="n"/>
      <c r="E528" s="93" t="n"/>
      <c r="F528" s="93" t="n"/>
      <c r="G528" s="93" t="n"/>
      <c r="H528" s="93" t="n"/>
      <c r="I528" s="93" t="n"/>
      <c r="J528" s="93" t="n"/>
      <c r="K528" s="93" t="n"/>
      <c r="L528" s="93" t="n"/>
      <c r="M528" s="93" t="n"/>
      <c r="N528" s="93" t="n"/>
      <c r="O528" s="93" t="n"/>
      <c r="P528" s="93" t="n"/>
      <c r="Q528" s="93" t="n"/>
      <c r="R528" s="93" t="n"/>
      <c r="S528" s="93" t="n"/>
      <c r="T528" s="93" t="n"/>
    </row>
    <row r="529" ht="12.75" customHeight="1" s="111">
      <c r="A529" s="93" t="n"/>
      <c r="B529" s="93" t="n"/>
      <c r="C529" s="93" t="n"/>
      <c r="D529" s="93" t="n"/>
      <c r="E529" s="93" t="n"/>
      <c r="F529" s="93" t="n"/>
      <c r="G529" s="93" t="n"/>
      <c r="H529" s="93" t="n"/>
      <c r="I529" s="93" t="n"/>
      <c r="J529" s="93" t="n"/>
      <c r="K529" s="93" t="n"/>
      <c r="L529" s="93" t="n"/>
      <c r="M529" s="93" t="n"/>
      <c r="N529" s="93" t="n"/>
      <c r="O529" s="93" t="n"/>
      <c r="P529" s="93" t="n"/>
      <c r="Q529" s="93" t="n"/>
      <c r="R529" s="93" t="n"/>
      <c r="S529" s="93" t="n"/>
      <c r="T529" s="93" t="n"/>
    </row>
    <row r="530" ht="12.75" customHeight="1" s="111">
      <c r="A530" s="93" t="n"/>
      <c r="B530" s="93" t="n"/>
      <c r="C530" s="93" t="n"/>
      <c r="D530" s="93" t="n"/>
      <c r="E530" s="93" t="n"/>
      <c r="F530" s="93" t="n"/>
      <c r="G530" s="93" t="n"/>
      <c r="H530" s="93" t="n"/>
      <c r="I530" s="93" t="n"/>
      <c r="J530" s="93" t="n"/>
      <c r="K530" s="93" t="n"/>
      <c r="L530" s="93" t="n"/>
      <c r="M530" s="93" t="n"/>
      <c r="N530" s="93" t="n"/>
      <c r="O530" s="93" t="n"/>
      <c r="P530" s="93" t="n"/>
      <c r="Q530" s="93" t="n"/>
      <c r="R530" s="93" t="n"/>
      <c r="S530" s="93" t="n"/>
      <c r="T530" s="93" t="n"/>
    </row>
    <row r="531" ht="12.75" customHeight="1" s="111">
      <c r="A531" s="93" t="n"/>
      <c r="B531" s="93" t="n"/>
      <c r="C531" s="93" t="n"/>
      <c r="D531" s="93" t="n"/>
      <c r="E531" s="93" t="n"/>
      <c r="F531" s="93" t="n"/>
      <c r="G531" s="93" t="n"/>
      <c r="H531" s="93" t="n"/>
      <c r="I531" s="93" t="n"/>
      <c r="J531" s="93" t="n"/>
      <c r="K531" s="93" t="n"/>
      <c r="L531" s="93" t="n"/>
      <c r="M531" s="93" t="n"/>
      <c r="N531" s="93" t="n"/>
      <c r="O531" s="93" t="n"/>
      <c r="P531" s="93" t="n"/>
      <c r="Q531" s="93" t="n"/>
      <c r="R531" s="93" t="n"/>
      <c r="S531" s="93" t="n"/>
      <c r="T531" s="93" t="n"/>
    </row>
    <row r="532" ht="12.75" customHeight="1" s="111">
      <c r="A532" s="93" t="n"/>
      <c r="B532" s="93" t="n"/>
      <c r="C532" s="93" t="n"/>
      <c r="D532" s="93" t="n"/>
      <c r="E532" s="93" t="n"/>
      <c r="F532" s="93" t="n"/>
      <c r="G532" s="93" t="n"/>
      <c r="H532" s="93" t="n"/>
      <c r="I532" s="93" t="n"/>
      <c r="J532" s="93" t="n"/>
      <c r="K532" s="93" t="n"/>
      <c r="L532" s="93" t="n"/>
      <c r="M532" s="93" t="n"/>
      <c r="N532" s="93" t="n"/>
      <c r="O532" s="93" t="n"/>
      <c r="P532" s="93" t="n"/>
      <c r="Q532" s="93" t="n"/>
      <c r="R532" s="93" t="n"/>
      <c r="S532" s="93" t="n"/>
      <c r="T532" s="93" t="n"/>
    </row>
    <row r="533" ht="12.75" customHeight="1" s="111">
      <c r="A533" s="93" t="n"/>
      <c r="B533" s="93" t="n"/>
      <c r="C533" s="93" t="n"/>
      <c r="D533" s="93" t="n"/>
      <c r="E533" s="93" t="n"/>
      <c r="F533" s="93" t="n"/>
      <c r="G533" s="93" t="n"/>
      <c r="H533" s="93" t="n"/>
      <c r="I533" s="93" t="n"/>
      <c r="J533" s="93" t="n"/>
      <c r="K533" s="93" t="n"/>
      <c r="L533" s="93" t="n"/>
      <c r="M533" s="93" t="n"/>
      <c r="N533" s="93" t="n"/>
      <c r="O533" s="93" t="n"/>
      <c r="P533" s="93" t="n"/>
      <c r="Q533" s="93" t="n"/>
      <c r="R533" s="93" t="n"/>
      <c r="S533" s="93" t="n"/>
      <c r="T533" s="93" t="n"/>
    </row>
    <row r="534" ht="12.75" customHeight="1" s="111">
      <c r="A534" s="93" t="n"/>
      <c r="B534" s="93" t="n"/>
      <c r="C534" s="93" t="n"/>
      <c r="D534" s="93" t="n"/>
      <c r="E534" s="93" t="n"/>
      <c r="F534" s="93" t="n"/>
      <c r="G534" s="93" t="n"/>
      <c r="H534" s="93" t="n"/>
      <c r="I534" s="93" t="n"/>
      <c r="J534" s="93" t="n"/>
      <c r="K534" s="93" t="n"/>
      <c r="L534" s="93" t="n"/>
      <c r="M534" s="93" t="n"/>
      <c r="N534" s="93" t="n"/>
      <c r="O534" s="93" t="n"/>
      <c r="P534" s="93" t="n"/>
      <c r="Q534" s="93" t="n"/>
      <c r="R534" s="93" t="n"/>
      <c r="S534" s="93" t="n"/>
      <c r="T534" s="93" t="n"/>
    </row>
    <row r="535" ht="12.75" customHeight="1" s="111">
      <c r="A535" s="93" t="n"/>
      <c r="B535" s="93" t="n"/>
      <c r="C535" s="93" t="n"/>
      <c r="D535" s="93" t="n"/>
      <c r="E535" s="93" t="n"/>
      <c r="F535" s="93" t="n"/>
      <c r="G535" s="93" t="n"/>
      <c r="H535" s="93" t="n"/>
      <c r="I535" s="93" t="n"/>
      <c r="J535" s="93" t="n"/>
      <c r="K535" s="93" t="n"/>
      <c r="L535" s="93" t="n"/>
      <c r="M535" s="93" t="n"/>
      <c r="N535" s="93" t="n"/>
      <c r="O535" s="93" t="n"/>
      <c r="P535" s="93" t="n"/>
      <c r="Q535" s="93" t="n"/>
      <c r="R535" s="93" t="n"/>
      <c r="S535" s="93" t="n"/>
      <c r="T535" s="93" t="n"/>
    </row>
    <row r="536" ht="12.75" customHeight="1" s="111">
      <c r="A536" s="93" t="n"/>
      <c r="B536" s="93" t="n"/>
      <c r="C536" s="93" t="n"/>
      <c r="D536" s="93" t="n"/>
      <c r="E536" s="93" t="n"/>
      <c r="F536" s="93" t="n"/>
      <c r="G536" s="93" t="n"/>
      <c r="H536" s="93" t="n"/>
      <c r="I536" s="93" t="n"/>
      <c r="J536" s="93" t="n"/>
      <c r="K536" s="93" t="n"/>
      <c r="L536" s="93" t="n"/>
      <c r="M536" s="93" t="n"/>
      <c r="N536" s="93" t="n"/>
      <c r="O536" s="93" t="n"/>
      <c r="P536" s="93" t="n"/>
      <c r="Q536" s="93" t="n"/>
      <c r="R536" s="93" t="n"/>
      <c r="S536" s="93" t="n"/>
      <c r="T536" s="93" t="n"/>
    </row>
    <row r="537" ht="12.75" customHeight="1" s="111">
      <c r="A537" s="93" t="n"/>
      <c r="B537" s="93" t="n"/>
      <c r="C537" s="93" t="n"/>
      <c r="D537" s="93" t="n"/>
      <c r="E537" s="93" t="n"/>
      <c r="F537" s="93" t="n"/>
      <c r="G537" s="93" t="n"/>
      <c r="H537" s="93" t="n"/>
      <c r="I537" s="93" t="n"/>
      <c r="J537" s="93" t="n"/>
      <c r="K537" s="93" t="n"/>
      <c r="L537" s="93" t="n"/>
      <c r="M537" s="93" t="n"/>
      <c r="N537" s="93" t="n"/>
      <c r="O537" s="93" t="n"/>
      <c r="P537" s="93" t="n"/>
      <c r="Q537" s="93" t="n"/>
      <c r="R537" s="93" t="n"/>
      <c r="S537" s="93" t="n"/>
      <c r="T537" s="93" t="n"/>
    </row>
    <row r="538" ht="12.75" customHeight="1" s="111">
      <c r="A538" s="93" t="n"/>
      <c r="B538" s="93" t="n"/>
      <c r="C538" s="93" t="n"/>
      <c r="D538" s="93" t="n"/>
      <c r="E538" s="93" t="n"/>
      <c r="F538" s="93" t="n"/>
      <c r="G538" s="93" t="n"/>
      <c r="H538" s="93" t="n"/>
      <c r="I538" s="93" t="n"/>
      <c r="J538" s="93" t="n"/>
      <c r="K538" s="93" t="n"/>
      <c r="L538" s="93" t="n"/>
      <c r="M538" s="93" t="n"/>
      <c r="N538" s="93" t="n"/>
      <c r="O538" s="93" t="n"/>
      <c r="P538" s="93" t="n"/>
      <c r="Q538" s="93" t="n"/>
      <c r="R538" s="93" t="n"/>
      <c r="S538" s="93" t="n"/>
      <c r="T538" s="93" t="n"/>
    </row>
    <row r="539" ht="12.75" customHeight="1" s="111">
      <c r="A539" s="93" t="n"/>
      <c r="B539" s="93" t="n"/>
      <c r="C539" s="93" t="n"/>
      <c r="D539" s="93" t="n"/>
      <c r="E539" s="93" t="n"/>
      <c r="F539" s="93" t="n"/>
      <c r="G539" s="93" t="n"/>
      <c r="H539" s="93" t="n"/>
      <c r="I539" s="93" t="n"/>
      <c r="J539" s="93" t="n"/>
      <c r="K539" s="93" t="n"/>
      <c r="L539" s="93" t="n"/>
      <c r="M539" s="93" t="n"/>
      <c r="N539" s="93" t="n"/>
      <c r="O539" s="93" t="n"/>
      <c r="P539" s="93" t="n"/>
      <c r="Q539" s="93" t="n"/>
      <c r="R539" s="93" t="n"/>
      <c r="S539" s="93" t="n"/>
      <c r="T539" s="93" t="n"/>
    </row>
    <row r="540" ht="12.75" customHeight="1" s="111">
      <c r="A540" s="93" t="n"/>
      <c r="B540" s="93" t="n"/>
      <c r="C540" s="93" t="n"/>
      <c r="D540" s="93" t="n"/>
      <c r="E540" s="93" t="n"/>
      <c r="F540" s="93" t="n"/>
      <c r="G540" s="93" t="n"/>
      <c r="H540" s="93" t="n"/>
      <c r="I540" s="93" t="n"/>
      <c r="J540" s="93" t="n"/>
      <c r="K540" s="93" t="n"/>
      <c r="L540" s="93" t="n"/>
      <c r="M540" s="93" t="n"/>
      <c r="N540" s="93" t="n"/>
      <c r="O540" s="93" t="n"/>
      <c r="P540" s="93" t="n"/>
      <c r="Q540" s="93" t="n"/>
      <c r="R540" s="93" t="n"/>
      <c r="S540" s="93" t="n"/>
      <c r="T540" s="93" t="n"/>
    </row>
    <row r="541" ht="12.75" customHeight="1" s="111">
      <c r="A541" s="93" t="n"/>
      <c r="B541" s="93" t="n"/>
      <c r="C541" s="93" t="n"/>
      <c r="D541" s="93" t="n"/>
      <c r="E541" s="93" t="n"/>
      <c r="F541" s="93" t="n"/>
      <c r="G541" s="93" t="n"/>
      <c r="H541" s="93" t="n"/>
      <c r="I541" s="93" t="n"/>
      <c r="J541" s="93" t="n"/>
      <c r="K541" s="93" t="n"/>
      <c r="L541" s="93" t="n"/>
      <c r="M541" s="93" t="n"/>
      <c r="N541" s="93" t="n"/>
      <c r="O541" s="93" t="n"/>
      <c r="P541" s="93" t="n"/>
      <c r="Q541" s="93" t="n"/>
      <c r="R541" s="93" t="n"/>
      <c r="S541" s="93" t="n"/>
      <c r="T541" s="93" t="n"/>
    </row>
    <row r="542" ht="12.75" customHeight="1" s="111">
      <c r="A542" s="93" t="n"/>
      <c r="B542" s="93" t="n"/>
      <c r="C542" s="93" t="n"/>
      <c r="D542" s="93" t="n"/>
      <c r="E542" s="93" t="n"/>
      <c r="F542" s="93" t="n"/>
      <c r="G542" s="93" t="n"/>
      <c r="H542" s="93" t="n"/>
      <c r="I542" s="93" t="n"/>
      <c r="J542" s="93" t="n"/>
      <c r="K542" s="93" t="n"/>
      <c r="L542" s="93" t="n"/>
      <c r="M542" s="93" t="n"/>
      <c r="N542" s="93" t="n"/>
      <c r="O542" s="93" t="n"/>
      <c r="P542" s="93" t="n"/>
      <c r="Q542" s="93" t="n"/>
      <c r="R542" s="93" t="n"/>
      <c r="S542" s="93" t="n"/>
      <c r="T542" s="93" t="n"/>
    </row>
    <row r="543" ht="12.75" customHeight="1" s="111">
      <c r="A543" s="93" t="n"/>
      <c r="B543" s="93" t="n"/>
      <c r="C543" s="93" t="n"/>
      <c r="D543" s="93" t="n"/>
      <c r="E543" s="93" t="n"/>
      <c r="F543" s="93" t="n"/>
      <c r="G543" s="93" t="n"/>
      <c r="H543" s="93" t="n"/>
      <c r="I543" s="93" t="n"/>
      <c r="J543" s="93" t="n"/>
      <c r="K543" s="93" t="n"/>
      <c r="L543" s="93" t="n"/>
      <c r="M543" s="93" t="n"/>
      <c r="N543" s="93" t="n"/>
      <c r="O543" s="93" t="n"/>
      <c r="P543" s="93" t="n"/>
      <c r="Q543" s="93" t="n"/>
      <c r="R543" s="93" t="n"/>
      <c r="S543" s="93" t="n"/>
      <c r="T543" s="93" t="n"/>
    </row>
    <row r="544" ht="12.75" customHeight="1" s="111">
      <c r="A544" s="93" t="n"/>
      <c r="B544" s="93" t="n"/>
      <c r="C544" s="93" t="n"/>
      <c r="D544" s="93" t="n"/>
      <c r="E544" s="93" t="n"/>
      <c r="F544" s="93" t="n"/>
      <c r="G544" s="93" t="n"/>
      <c r="H544" s="93" t="n"/>
      <c r="I544" s="93" t="n"/>
      <c r="J544" s="93" t="n"/>
      <c r="K544" s="93" t="n"/>
      <c r="L544" s="93" t="n"/>
      <c r="M544" s="93" t="n"/>
      <c r="N544" s="93" t="n"/>
      <c r="O544" s="93" t="n"/>
      <c r="P544" s="93" t="n"/>
      <c r="Q544" s="93" t="n"/>
      <c r="R544" s="93" t="n"/>
      <c r="S544" s="93" t="n"/>
      <c r="T544" s="93" t="n"/>
    </row>
    <row r="545" ht="12.75" customHeight="1" s="111">
      <c r="A545" s="93" t="n"/>
      <c r="B545" s="93" t="n"/>
      <c r="C545" s="93" t="n"/>
      <c r="D545" s="93" t="n"/>
      <c r="E545" s="93" t="n"/>
      <c r="F545" s="93" t="n"/>
      <c r="G545" s="93" t="n"/>
      <c r="H545" s="93" t="n"/>
      <c r="I545" s="93" t="n"/>
      <c r="J545" s="93" t="n"/>
      <c r="K545" s="93" t="n"/>
      <c r="L545" s="93" t="n"/>
      <c r="M545" s="93" t="n"/>
      <c r="N545" s="93" t="n"/>
      <c r="O545" s="93" t="n"/>
      <c r="P545" s="93" t="n"/>
      <c r="Q545" s="93" t="n"/>
      <c r="R545" s="93" t="n"/>
      <c r="S545" s="93" t="n"/>
      <c r="T545" s="93" t="n"/>
    </row>
    <row r="546" ht="12.75" customHeight="1" s="111">
      <c r="A546" s="93" t="n"/>
      <c r="B546" s="93" t="n"/>
      <c r="C546" s="93" t="n"/>
      <c r="D546" s="93" t="n"/>
      <c r="E546" s="93" t="n"/>
      <c r="F546" s="93" t="n"/>
      <c r="G546" s="93" t="n"/>
      <c r="H546" s="93" t="n"/>
      <c r="I546" s="93" t="n"/>
      <c r="J546" s="93" t="n"/>
      <c r="K546" s="93" t="n"/>
      <c r="L546" s="93" t="n"/>
      <c r="M546" s="93" t="n"/>
      <c r="N546" s="93" t="n"/>
      <c r="O546" s="93" t="n"/>
      <c r="P546" s="93" t="n"/>
      <c r="Q546" s="93" t="n"/>
      <c r="R546" s="93" t="n"/>
      <c r="S546" s="93" t="n"/>
      <c r="T546" s="93" t="n"/>
    </row>
    <row r="547" ht="12.75" customHeight="1" s="111">
      <c r="A547" s="93" t="n"/>
      <c r="B547" s="93" t="n"/>
      <c r="C547" s="93" t="n"/>
      <c r="D547" s="93" t="n"/>
      <c r="E547" s="93" t="n"/>
      <c r="F547" s="93" t="n"/>
      <c r="G547" s="93" t="n"/>
      <c r="H547" s="93" t="n"/>
      <c r="I547" s="93" t="n"/>
      <c r="J547" s="93" t="n"/>
      <c r="K547" s="93" t="n"/>
      <c r="L547" s="93" t="n"/>
      <c r="M547" s="93" t="n"/>
      <c r="N547" s="93" t="n"/>
      <c r="O547" s="93" t="n"/>
      <c r="P547" s="93" t="n"/>
      <c r="Q547" s="93" t="n"/>
      <c r="R547" s="93" t="n"/>
      <c r="S547" s="93" t="n"/>
      <c r="T547" s="93" t="n"/>
    </row>
    <row r="548" ht="12.75" customHeight="1" s="111">
      <c r="A548" s="93" t="n"/>
      <c r="B548" s="93" t="n"/>
      <c r="C548" s="93" t="n"/>
      <c r="D548" s="93" t="n"/>
      <c r="E548" s="93" t="n"/>
      <c r="F548" s="93" t="n"/>
      <c r="G548" s="93" t="n"/>
      <c r="H548" s="93" t="n"/>
      <c r="I548" s="93" t="n"/>
      <c r="J548" s="93" t="n"/>
      <c r="K548" s="93" t="n"/>
      <c r="L548" s="93" t="n"/>
      <c r="M548" s="93" t="n"/>
      <c r="N548" s="93" t="n"/>
      <c r="O548" s="93" t="n"/>
      <c r="P548" s="93" t="n"/>
      <c r="Q548" s="93" t="n"/>
      <c r="R548" s="93" t="n"/>
      <c r="S548" s="93" t="n"/>
      <c r="T548" s="93" t="n"/>
    </row>
    <row r="549" ht="12.75" customHeight="1" s="111">
      <c r="A549" s="93" t="n"/>
      <c r="B549" s="93" t="n"/>
      <c r="C549" s="93" t="n"/>
      <c r="D549" s="93" t="n"/>
      <c r="E549" s="93" t="n"/>
      <c r="F549" s="93" t="n"/>
      <c r="G549" s="93" t="n"/>
      <c r="H549" s="93" t="n"/>
      <c r="I549" s="93" t="n"/>
      <c r="J549" s="93" t="n"/>
      <c r="K549" s="93" t="n"/>
      <c r="L549" s="93" t="n"/>
      <c r="M549" s="93" t="n"/>
      <c r="N549" s="93" t="n"/>
      <c r="O549" s="93" t="n"/>
      <c r="P549" s="93" t="n"/>
      <c r="Q549" s="93" t="n"/>
      <c r="R549" s="93" t="n"/>
      <c r="S549" s="93" t="n"/>
      <c r="T549" s="93" t="n"/>
    </row>
    <row r="550" ht="12.75" customHeight="1" s="111">
      <c r="A550" s="93" t="n"/>
      <c r="B550" s="93" t="n"/>
      <c r="C550" s="93" t="n"/>
      <c r="D550" s="93" t="n"/>
      <c r="E550" s="93" t="n"/>
      <c r="F550" s="93" t="n"/>
      <c r="G550" s="93" t="n"/>
      <c r="H550" s="93" t="n"/>
      <c r="I550" s="93" t="n"/>
      <c r="J550" s="93" t="n"/>
      <c r="K550" s="93" t="n"/>
      <c r="L550" s="93" t="n"/>
      <c r="M550" s="93" t="n"/>
      <c r="N550" s="93" t="n"/>
      <c r="O550" s="93" t="n"/>
      <c r="P550" s="93" t="n"/>
      <c r="Q550" s="93" t="n"/>
      <c r="R550" s="93" t="n"/>
      <c r="S550" s="93" t="n"/>
      <c r="T550" s="93" t="n"/>
    </row>
    <row r="551" ht="12.75" customHeight="1" s="111">
      <c r="A551" s="93" t="n"/>
      <c r="B551" s="93" t="n"/>
      <c r="C551" s="93" t="n"/>
      <c r="D551" s="93" t="n"/>
      <c r="E551" s="93" t="n"/>
      <c r="F551" s="93" t="n"/>
      <c r="G551" s="93" t="n"/>
      <c r="H551" s="93" t="n"/>
      <c r="I551" s="93" t="n"/>
      <c r="J551" s="93" t="n"/>
      <c r="K551" s="93" t="n"/>
      <c r="L551" s="93" t="n"/>
      <c r="M551" s="93" t="n"/>
      <c r="N551" s="93" t="n"/>
      <c r="O551" s="93" t="n"/>
      <c r="P551" s="93" t="n"/>
      <c r="Q551" s="93" t="n"/>
      <c r="R551" s="93" t="n"/>
      <c r="S551" s="93" t="n"/>
      <c r="T551" s="93" t="n"/>
    </row>
    <row r="552" ht="12.75" customHeight="1" s="111">
      <c r="A552" s="93" t="n"/>
      <c r="B552" s="93" t="n"/>
      <c r="C552" s="93" t="n"/>
      <c r="D552" s="93" t="n"/>
      <c r="E552" s="93" t="n"/>
      <c r="F552" s="93" t="n"/>
      <c r="G552" s="93" t="n"/>
      <c r="H552" s="93" t="n"/>
      <c r="I552" s="93" t="n"/>
      <c r="J552" s="93" t="n"/>
      <c r="K552" s="93" t="n"/>
      <c r="L552" s="93" t="n"/>
      <c r="M552" s="93" t="n"/>
      <c r="N552" s="93" t="n"/>
      <c r="O552" s="93" t="n"/>
      <c r="P552" s="93" t="n"/>
      <c r="Q552" s="93" t="n"/>
      <c r="R552" s="93" t="n"/>
      <c r="S552" s="93" t="n"/>
      <c r="T552" s="93" t="n"/>
    </row>
    <row r="553" ht="12.75" customHeight="1" s="111">
      <c r="A553" s="93" t="n"/>
      <c r="B553" s="93" t="n"/>
      <c r="C553" s="93" t="n"/>
      <c r="D553" s="93" t="n"/>
      <c r="E553" s="93" t="n"/>
      <c r="F553" s="93" t="n"/>
      <c r="G553" s="93" t="n"/>
      <c r="H553" s="93" t="n"/>
      <c r="I553" s="93" t="n"/>
      <c r="J553" s="93" t="n"/>
      <c r="K553" s="93" t="n"/>
      <c r="L553" s="93" t="n"/>
      <c r="M553" s="93" t="n"/>
      <c r="N553" s="93" t="n"/>
      <c r="O553" s="93" t="n"/>
      <c r="P553" s="93" t="n"/>
      <c r="Q553" s="93" t="n"/>
      <c r="R553" s="93" t="n"/>
      <c r="S553" s="93" t="n"/>
      <c r="T553" s="93" t="n"/>
    </row>
    <row r="554" ht="12.75" customHeight="1" s="111">
      <c r="A554" s="93" t="n"/>
      <c r="B554" s="93" t="n"/>
      <c r="C554" s="93" t="n"/>
      <c r="D554" s="93" t="n"/>
      <c r="E554" s="93" t="n"/>
      <c r="F554" s="93" t="n"/>
      <c r="G554" s="93" t="n"/>
      <c r="H554" s="93" t="n"/>
      <c r="I554" s="93" t="n"/>
      <c r="J554" s="93" t="n"/>
      <c r="K554" s="93" t="n"/>
      <c r="L554" s="93" t="n"/>
      <c r="M554" s="93" t="n"/>
      <c r="N554" s="93" t="n"/>
      <c r="O554" s="93" t="n"/>
      <c r="P554" s="93" t="n"/>
      <c r="Q554" s="93" t="n"/>
      <c r="R554" s="93" t="n"/>
      <c r="S554" s="93" t="n"/>
      <c r="T554" s="93" t="n"/>
    </row>
    <row r="555" ht="12.75" customHeight="1" s="111">
      <c r="A555" s="93" t="n"/>
      <c r="B555" s="93" t="n"/>
      <c r="C555" s="93" t="n"/>
      <c r="D555" s="93" t="n"/>
      <c r="E555" s="93" t="n"/>
      <c r="F555" s="93" t="n"/>
      <c r="G555" s="93" t="n"/>
      <c r="H555" s="93" t="n"/>
      <c r="I555" s="93" t="n"/>
      <c r="J555" s="93" t="n"/>
      <c r="K555" s="93" t="n"/>
      <c r="L555" s="93" t="n"/>
      <c r="M555" s="93" t="n"/>
      <c r="N555" s="93" t="n"/>
      <c r="O555" s="93" t="n"/>
      <c r="P555" s="93" t="n"/>
      <c r="Q555" s="93" t="n"/>
      <c r="R555" s="93" t="n"/>
      <c r="S555" s="93" t="n"/>
      <c r="T555" s="93" t="n"/>
    </row>
    <row r="556" ht="12.75" customHeight="1" s="111">
      <c r="A556" s="93" t="n"/>
      <c r="B556" s="93" t="n"/>
      <c r="C556" s="93" t="n"/>
      <c r="D556" s="93" t="n"/>
      <c r="E556" s="93" t="n"/>
      <c r="F556" s="93" t="n"/>
      <c r="G556" s="93" t="n"/>
      <c r="H556" s="93" t="n"/>
      <c r="I556" s="93" t="n"/>
      <c r="J556" s="93" t="n"/>
      <c r="K556" s="93" t="n"/>
      <c r="L556" s="93" t="n"/>
      <c r="M556" s="93" t="n"/>
      <c r="N556" s="93" t="n"/>
      <c r="O556" s="93" t="n"/>
      <c r="P556" s="93" t="n"/>
      <c r="Q556" s="93" t="n"/>
      <c r="R556" s="93" t="n"/>
      <c r="S556" s="93" t="n"/>
      <c r="T556" s="93" t="n"/>
    </row>
    <row r="557" ht="12.75" customHeight="1" s="111">
      <c r="A557" s="93" t="n"/>
      <c r="B557" s="93" t="n"/>
      <c r="C557" s="93" t="n"/>
      <c r="D557" s="93" t="n"/>
      <c r="E557" s="93" t="n"/>
      <c r="F557" s="93" t="n"/>
      <c r="G557" s="93" t="n"/>
      <c r="H557" s="93" t="n"/>
      <c r="I557" s="93" t="n"/>
      <c r="J557" s="93" t="n"/>
      <c r="K557" s="93" t="n"/>
      <c r="L557" s="93" t="n"/>
      <c r="M557" s="93" t="n"/>
      <c r="N557" s="93" t="n"/>
      <c r="O557" s="93" t="n"/>
      <c r="P557" s="93" t="n"/>
      <c r="Q557" s="93" t="n"/>
      <c r="R557" s="93" t="n"/>
      <c r="S557" s="93" t="n"/>
      <c r="T557" s="93" t="n"/>
    </row>
    <row r="558" ht="12.75" customHeight="1" s="111">
      <c r="A558" s="93" t="n"/>
      <c r="B558" s="93" t="n"/>
      <c r="C558" s="93" t="n"/>
      <c r="D558" s="93" t="n"/>
      <c r="E558" s="93" t="n"/>
      <c r="F558" s="93" t="n"/>
      <c r="G558" s="93" t="n"/>
      <c r="H558" s="93" t="n"/>
      <c r="I558" s="93" t="n"/>
      <c r="J558" s="93" t="n"/>
      <c r="K558" s="93" t="n"/>
      <c r="L558" s="93" t="n"/>
      <c r="M558" s="93" t="n"/>
      <c r="N558" s="93" t="n"/>
      <c r="O558" s="93" t="n"/>
      <c r="P558" s="93" t="n"/>
      <c r="Q558" s="93" t="n"/>
      <c r="R558" s="93" t="n"/>
      <c r="S558" s="93" t="n"/>
      <c r="T558" s="93" t="n"/>
    </row>
    <row r="559" ht="12.75" customHeight="1" s="111">
      <c r="A559" s="93" t="n"/>
      <c r="B559" s="93" t="n"/>
      <c r="C559" s="93" t="n"/>
      <c r="D559" s="93" t="n"/>
      <c r="E559" s="93" t="n"/>
      <c r="F559" s="93" t="n"/>
      <c r="G559" s="93" t="n"/>
      <c r="H559" s="93" t="n"/>
      <c r="I559" s="93" t="n"/>
      <c r="J559" s="93" t="n"/>
      <c r="K559" s="93" t="n"/>
      <c r="L559" s="93" t="n"/>
      <c r="M559" s="93" t="n"/>
      <c r="N559" s="93" t="n"/>
      <c r="O559" s="93" t="n"/>
      <c r="P559" s="93" t="n"/>
      <c r="Q559" s="93" t="n"/>
      <c r="R559" s="93" t="n"/>
      <c r="S559" s="93" t="n"/>
      <c r="T559" s="93" t="n"/>
    </row>
    <row r="560" ht="12.75" customHeight="1" s="111">
      <c r="A560" s="93" t="n"/>
      <c r="B560" s="93" t="n"/>
      <c r="C560" s="93" t="n"/>
      <c r="D560" s="93" t="n"/>
      <c r="E560" s="93" t="n"/>
      <c r="F560" s="93" t="n"/>
      <c r="G560" s="93" t="n"/>
      <c r="H560" s="93" t="n"/>
      <c r="I560" s="93" t="n"/>
      <c r="J560" s="93" t="n"/>
      <c r="K560" s="93" t="n"/>
      <c r="L560" s="93" t="n"/>
      <c r="M560" s="93" t="n"/>
      <c r="N560" s="93" t="n"/>
      <c r="O560" s="93" t="n"/>
      <c r="P560" s="93" t="n"/>
      <c r="Q560" s="93" t="n"/>
      <c r="R560" s="93" t="n"/>
      <c r="S560" s="93" t="n"/>
      <c r="T560" s="93" t="n"/>
    </row>
    <row r="561" ht="12.75" customHeight="1" s="111">
      <c r="A561" s="93" t="n"/>
      <c r="B561" s="93" t="n"/>
      <c r="C561" s="93" t="n"/>
      <c r="D561" s="93" t="n"/>
      <c r="E561" s="93" t="n"/>
      <c r="F561" s="93" t="n"/>
      <c r="G561" s="93" t="n"/>
      <c r="H561" s="93" t="n"/>
      <c r="I561" s="93" t="n"/>
      <c r="J561" s="93" t="n"/>
      <c r="K561" s="93" t="n"/>
      <c r="L561" s="93" t="n"/>
      <c r="M561" s="93" t="n"/>
      <c r="N561" s="93" t="n"/>
      <c r="O561" s="93" t="n"/>
      <c r="P561" s="93" t="n"/>
      <c r="Q561" s="93" t="n"/>
      <c r="R561" s="93" t="n"/>
      <c r="S561" s="93" t="n"/>
      <c r="T561" s="93" t="n"/>
    </row>
    <row r="562" ht="12.75" customHeight="1" s="111">
      <c r="A562" s="93" t="n"/>
      <c r="B562" s="93" t="n"/>
      <c r="C562" s="93" t="n"/>
      <c r="D562" s="93" t="n"/>
      <c r="E562" s="93" t="n"/>
      <c r="F562" s="93" t="n"/>
      <c r="G562" s="93" t="n"/>
      <c r="H562" s="93" t="n"/>
      <c r="I562" s="93" t="n"/>
      <c r="J562" s="93" t="n"/>
      <c r="K562" s="93" t="n"/>
      <c r="L562" s="93" t="n"/>
      <c r="M562" s="93" t="n"/>
      <c r="N562" s="93" t="n"/>
      <c r="O562" s="93" t="n"/>
      <c r="P562" s="93" t="n"/>
      <c r="Q562" s="93" t="n"/>
      <c r="R562" s="93" t="n"/>
      <c r="S562" s="93" t="n"/>
      <c r="T562" s="93" t="n"/>
    </row>
    <row r="563" ht="12.75" customHeight="1" s="111">
      <c r="A563" s="93" t="n"/>
      <c r="B563" s="93" t="n"/>
      <c r="C563" s="93" t="n"/>
      <c r="D563" s="93" t="n"/>
      <c r="E563" s="93" t="n"/>
      <c r="F563" s="93" t="n"/>
      <c r="G563" s="93" t="n"/>
      <c r="H563" s="93" t="n"/>
      <c r="I563" s="93" t="n"/>
      <c r="J563" s="93" t="n"/>
      <c r="K563" s="93" t="n"/>
      <c r="L563" s="93" t="n"/>
      <c r="M563" s="93" t="n"/>
      <c r="N563" s="93" t="n"/>
      <c r="O563" s="93" t="n"/>
      <c r="P563" s="93" t="n"/>
      <c r="Q563" s="93" t="n"/>
      <c r="R563" s="93" t="n"/>
      <c r="S563" s="93" t="n"/>
      <c r="T563" s="93" t="n"/>
    </row>
    <row r="564" ht="12.75" customHeight="1" s="111">
      <c r="A564" s="93" t="n"/>
      <c r="B564" s="93" t="n"/>
      <c r="C564" s="93" t="n"/>
      <c r="D564" s="93" t="n"/>
      <c r="E564" s="93" t="n"/>
      <c r="F564" s="93" t="n"/>
      <c r="G564" s="93" t="n"/>
      <c r="H564" s="93" t="n"/>
      <c r="I564" s="93" t="n"/>
      <c r="J564" s="93" t="n"/>
      <c r="K564" s="93" t="n"/>
      <c r="L564" s="93" t="n"/>
      <c r="M564" s="93" t="n"/>
      <c r="N564" s="93" t="n"/>
      <c r="O564" s="93" t="n"/>
      <c r="P564" s="93" t="n"/>
      <c r="Q564" s="93" t="n"/>
      <c r="R564" s="93" t="n"/>
      <c r="S564" s="93" t="n"/>
      <c r="T564" s="93" t="n"/>
    </row>
    <row r="565" ht="12.75" customHeight="1" s="111">
      <c r="A565" s="93" t="n"/>
      <c r="B565" s="93" t="n"/>
      <c r="C565" s="93" t="n"/>
      <c r="D565" s="93" t="n"/>
      <c r="E565" s="93" t="n"/>
      <c r="F565" s="93" t="n"/>
      <c r="G565" s="93" t="n"/>
      <c r="H565" s="93" t="n"/>
      <c r="I565" s="93" t="n"/>
      <c r="J565" s="93" t="n"/>
      <c r="K565" s="93" t="n"/>
      <c r="L565" s="93" t="n"/>
      <c r="M565" s="93" t="n"/>
      <c r="N565" s="93" t="n"/>
      <c r="O565" s="93" t="n"/>
      <c r="P565" s="93" t="n"/>
      <c r="Q565" s="93" t="n"/>
      <c r="R565" s="93" t="n"/>
      <c r="S565" s="93" t="n"/>
      <c r="T565" s="93" t="n"/>
    </row>
    <row r="566" ht="12.75" customHeight="1" s="111">
      <c r="A566" s="93" t="n"/>
      <c r="B566" s="93" t="n"/>
      <c r="C566" s="93" t="n"/>
      <c r="D566" s="93" t="n"/>
      <c r="E566" s="93" t="n"/>
      <c r="F566" s="93" t="n"/>
      <c r="G566" s="93" t="n"/>
      <c r="H566" s="93" t="n"/>
      <c r="I566" s="93" t="n"/>
      <c r="J566" s="93" t="n"/>
      <c r="K566" s="93" t="n"/>
      <c r="L566" s="93" t="n"/>
      <c r="M566" s="93" t="n"/>
      <c r="N566" s="93" t="n"/>
      <c r="O566" s="93" t="n"/>
      <c r="P566" s="93" t="n"/>
      <c r="Q566" s="93" t="n"/>
      <c r="R566" s="93" t="n"/>
      <c r="S566" s="93" t="n"/>
      <c r="T566" s="93" t="n"/>
    </row>
    <row r="567" ht="12.75" customHeight="1" s="111">
      <c r="A567" s="93" t="n"/>
      <c r="B567" s="93" t="n"/>
      <c r="C567" s="93" t="n"/>
      <c r="D567" s="93" t="n"/>
      <c r="E567" s="93" t="n"/>
      <c r="F567" s="93" t="n"/>
      <c r="G567" s="93" t="n"/>
      <c r="H567" s="93" t="n"/>
      <c r="I567" s="93" t="n"/>
      <c r="J567" s="93" t="n"/>
      <c r="K567" s="93" t="n"/>
      <c r="L567" s="93" t="n"/>
      <c r="M567" s="93" t="n"/>
      <c r="N567" s="93" t="n"/>
      <c r="O567" s="93" t="n"/>
      <c r="P567" s="93" t="n"/>
      <c r="Q567" s="93" t="n"/>
      <c r="R567" s="93" t="n"/>
      <c r="S567" s="93" t="n"/>
      <c r="T567" s="93" t="n"/>
    </row>
    <row r="568" ht="12.75" customHeight="1" s="111">
      <c r="A568" s="93" t="n"/>
      <c r="B568" s="93" t="n"/>
      <c r="C568" s="93" t="n"/>
      <c r="D568" s="93" t="n"/>
      <c r="E568" s="93" t="n"/>
      <c r="F568" s="93" t="n"/>
      <c r="G568" s="93" t="n"/>
      <c r="H568" s="93" t="n"/>
      <c r="I568" s="93" t="n"/>
      <c r="J568" s="93" t="n"/>
      <c r="K568" s="93" t="n"/>
      <c r="L568" s="93" t="n"/>
      <c r="M568" s="93" t="n"/>
      <c r="N568" s="93" t="n"/>
      <c r="O568" s="93" t="n"/>
      <c r="P568" s="93" t="n"/>
      <c r="Q568" s="93" t="n"/>
      <c r="R568" s="93" t="n"/>
      <c r="S568" s="93" t="n"/>
      <c r="T568" s="93" t="n"/>
    </row>
    <row r="569" ht="12.75" customHeight="1" s="111">
      <c r="A569" s="93" t="n"/>
      <c r="B569" s="93" t="n"/>
      <c r="C569" s="93" t="n"/>
      <c r="D569" s="93" t="n"/>
      <c r="E569" s="93" t="n"/>
      <c r="F569" s="93" t="n"/>
      <c r="G569" s="93" t="n"/>
      <c r="H569" s="93" t="n"/>
      <c r="I569" s="93" t="n"/>
      <c r="J569" s="93" t="n"/>
      <c r="K569" s="93" t="n"/>
      <c r="L569" s="93" t="n"/>
      <c r="M569" s="93" t="n"/>
      <c r="N569" s="93" t="n"/>
      <c r="O569" s="93" t="n"/>
      <c r="P569" s="93" t="n"/>
      <c r="Q569" s="93" t="n"/>
      <c r="R569" s="93" t="n"/>
      <c r="S569" s="93" t="n"/>
      <c r="T569" s="93" t="n"/>
    </row>
    <row r="570" ht="12.75" customHeight="1" s="111">
      <c r="A570" s="93" t="n"/>
      <c r="B570" s="93" t="n"/>
      <c r="C570" s="93" t="n"/>
      <c r="D570" s="93" t="n"/>
      <c r="E570" s="93" t="n"/>
      <c r="F570" s="93" t="n"/>
      <c r="G570" s="93" t="n"/>
      <c r="H570" s="93" t="n"/>
      <c r="I570" s="93" t="n"/>
      <c r="J570" s="93" t="n"/>
      <c r="K570" s="93" t="n"/>
      <c r="L570" s="93" t="n"/>
      <c r="M570" s="93" t="n"/>
      <c r="N570" s="93" t="n"/>
      <c r="O570" s="93" t="n"/>
      <c r="P570" s="93" t="n"/>
      <c r="Q570" s="93" t="n"/>
      <c r="R570" s="93" t="n"/>
      <c r="S570" s="93" t="n"/>
      <c r="T570" s="93" t="n"/>
    </row>
    <row r="571" ht="12.75" customHeight="1" s="111">
      <c r="A571" s="93" t="n"/>
      <c r="B571" s="93" t="n"/>
      <c r="C571" s="93" t="n"/>
      <c r="D571" s="93" t="n"/>
      <c r="E571" s="93" t="n"/>
      <c r="F571" s="93" t="n"/>
      <c r="G571" s="93" t="n"/>
      <c r="H571" s="93" t="n"/>
      <c r="I571" s="93" t="n"/>
      <c r="J571" s="93" t="n"/>
      <c r="K571" s="93" t="n"/>
      <c r="L571" s="93" t="n"/>
      <c r="M571" s="93" t="n"/>
      <c r="N571" s="93" t="n"/>
      <c r="O571" s="93" t="n"/>
      <c r="P571" s="93" t="n"/>
      <c r="Q571" s="93" t="n"/>
      <c r="R571" s="93" t="n"/>
      <c r="S571" s="93" t="n"/>
      <c r="T571" s="93" t="n"/>
    </row>
    <row r="572" ht="12.75" customHeight="1" s="111">
      <c r="A572" s="93" t="n"/>
      <c r="B572" s="93" t="n"/>
      <c r="C572" s="93" t="n"/>
      <c r="D572" s="93" t="n"/>
      <c r="E572" s="93" t="n"/>
      <c r="F572" s="93" t="n"/>
      <c r="G572" s="93" t="n"/>
      <c r="H572" s="93" t="n"/>
      <c r="I572" s="93" t="n"/>
      <c r="J572" s="93" t="n"/>
      <c r="K572" s="93" t="n"/>
      <c r="L572" s="93" t="n"/>
      <c r="M572" s="93" t="n"/>
      <c r="N572" s="93" t="n"/>
      <c r="O572" s="93" t="n"/>
      <c r="P572" s="93" t="n"/>
      <c r="Q572" s="93" t="n"/>
      <c r="R572" s="93" t="n"/>
      <c r="S572" s="93" t="n"/>
      <c r="T572" s="93" t="n"/>
    </row>
    <row r="573" ht="12.75" customHeight="1" s="111">
      <c r="A573" s="93" t="n"/>
      <c r="B573" s="93" t="n"/>
      <c r="C573" s="93" t="n"/>
      <c r="D573" s="93" t="n"/>
      <c r="E573" s="93" t="n"/>
      <c r="F573" s="93" t="n"/>
      <c r="G573" s="93" t="n"/>
      <c r="H573" s="93" t="n"/>
      <c r="I573" s="93" t="n"/>
      <c r="J573" s="93" t="n"/>
      <c r="K573" s="93" t="n"/>
      <c r="L573" s="93" t="n"/>
      <c r="M573" s="93" t="n"/>
      <c r="N573" s="93" t="n"/>
      <c r="O573" s="93" t="n"/>
      <c r="P573" s="93" t="n"/>
      <c r="Q573" s="93" t="n"/>
      <c r="R573" s="93" t="n"/>
      <c r="S573" s="93" t="n"/>
      <c r="T573" s="93" t="n"/>
    </row>
    <row r="574" ht="12.75" customHeight="1" s="111">
      <c r="A574" s="93" t="n"/>
      <c r="B574" s="93" t="n"/>
      <c r="C574" s="93" t="n"/>
      <c r="D574" s="93" t="n"/>
      <c r="E574" s="93" t="n"/>
      <c r="F574" s="93" t="n"/>
      <c r="G574" s="93" t="n"/>
      <c r="H574" s="93" t="n"/>
      <c r="I574" s="93" t="n"/>
      <c r="J574" s="93" t="n"/>
      <c r="K574" s="93" t="n"/>
      <c r="L574" s="93" t="n"/>
      <c r="M574" s="93" t="n"/>
      <c r="N574" s="93" t="n"/>
      <c r="O574" s="93" t="n"/>
      <c r="P574" s="93" t="n"/>
      <c r="Q574" s="93" t="n"/>
      <c r="R574" s="93" t="n"/>
      <c r="S574" s="93" t="n"/>
      <c r="T574" s="93" t="n"/>
    </row>
    <row r="575" ht="12.75" customHeight="1" s="111">
      <c r="A575" s="93" t="n"/>
      <c r="B575" s="93" t="n"/>
      <c r="C575" s="93" t="n"/>
      <c r="D575" s="93" t="n"/>
      <c r="E575" s="93" t="n"/>
      <c r="F575" s="93" t="n"/>
      <c r="G575" s="93" t="n"/>
      <c r="H575" s="93" t="n"/>
      <c r="I575" s="93" t="n"/>
      <c r="J575" s="93" t="n"/>
      <c r="K575" s="93" t="n"/>
      <c r="L575" s="93" t="n"/>
      <c r="M575" s="93" t="n"/>
      <c r="N575" s="93" t="n"/>
      <c r="O575" s="93" t="n"/>
      <c r="P575" s="93" t="n"/>
      <c r="Q575" s="93" t="n"/>
      <c r="R575" s="93" t="n"/>
      <c r="S575" s="93" t="n"/>
      <c r="T575" s="93" t="n"/>
    </row>
    <row r="576" ht="12.75" customHeight="1" s="111">
      <c r="A576" s="93" t="n"/>
      <c r="B576" s="93" t="n"/>
      <c r="C576" s="93" t="n"/>
      <c r="D576" s="93" t="n"/>
      <c r="E576" s="93" t="n"/>
      <c r="F576" s="93" t="n"/>
      <c r="G576" s="93" t="n"/>
      <c r="H576" s="93" t="n"/>
      <c r="I576" s="93" t="n"/>
      <c r="J576" s="93" t="n"/>
      <c r="K576" s="93" t="n"/>
      <c r="L576" s="93" t="n"/>
      <c r="M576" s="93" t="n"/>
      <c r="N576" s="93" t="n"/>
      <c r="O576" s="93" t="n"/>
      <c r="P576" s="93" t="n"/>
      <c r="Q576" s="93" t="n"/>
      <c r="R576" s="93" t="n"/>
      <c r="S576" s="93" t="n"/>
      <c r="T576" s="93" t="n"/>
    </row>
    <row r="577" ht="12.75" customHeight="1" s="111">
      <c r="A577" s="93" t="n"/>
      <c r="B577" s="93" t="n"/>
      <c r="C577" s="93" t="n"/>
      <c r="D577" s="93" t="n"/>
      <c r="E577" s="93" t="n"/>
      <c r="F577" s="93" t="n"/>
      <c r="G577" s="93" t="n"/>
      <c r="H577" s="93" t="n"/>
      <c r="I577" s="93" t="n"/>
      <c r="J577" s="93" t="n"/>
      <c r="K577" s="93" t="n"/>
      <c r="L577" s="93" t="n"/>
      <c r="M577" s="93" t="n"/>
      <c r="N577" s="93" t="n"/>
      <c r="O577" s="93" t="n"/>
      <c r="P577" s="93" t="n"/>
      <c r="Q577" s="93" t="n"/>
      <c r="R577" s="93" t="n"/>
      <c r="S577" s="93" t="n"/>
      <c r="T577" s="93" t="n"/>
    </row>
    <row r="578" ht="12.75" customHeight="1" s="111">
      <c r="A578" s="93" t="n"/>
      <c r="B578" s="93" t="n"/>
      <c r="C578" s="93" t="n"/>
      <c r="D578" s="93" t="n"/>
      <c r="E578" s="93" t="n"/>
      <c r="F578" s="93" t="n"/>
      <c r="G578" s="93" t="n"/>
      <c r="H578" s="93" t="n"/>
      <c r="I578" s="93" t="n"/>
      <c r="J578" s="93" t="n"/>
      <c r="K578" s="93" t="n"/>
      <c r="L578" s="93" t="n"/>
      <c r="M578" s="93" t="n"/>
      <c r="N578" s="93" t="n"/>
      <c r="O578" s="93" t="n"/>
      <c r="P578" s="93" t="n"/>
      <c r="Q578" s="93" t="n"/>
      <c r="R578" s="93" t="n"/>
      <c r="S578" s="93" t="n"/>
      <c r="T578" s="93" t="n"/>
    </row>
    <row r="579" ht="12.75" customHeight="1" s="111">
      <c r="A579" s="93" t="n"/>
      <c r="B579" s="93" t="n"/>
      <c r="C579" s="93" t="n"/>
      <c r="D579" s="93" t="n"/>
      <c r="E579" s="93" t="n"/>
      <c r="F579" s="93" t="n"/>
      <c r="G579" s="93" t="n"/>
      <c r="H579" s="93" t="n"/>
      <c r="I579" s="93" t="n"/>
      <c r="J579" s="93" t="n"/>
      <c r="K579" s="93" t="n"/>
      <c r="L579" s="93" t="n"/>
      <c r="M579" s="93" t="n"/>
      <c r="N579" s="93" t="n"/>
      <c r="O579" s="93" t="n"/>
      <c r="P579" s="93" t="n"/>
      <c r="Q579" s="93" t="n"/>
      <c r="R579" s="93" t="n"/>
      <c r="S579" s="93" t="n"/>
      <c r="T579" s="93" t="n"/>
    </row>
    <row r="580" ht="12.75" customHeight="1" s="111">
      <c r="A580" s="93" t="n"/>
      <c r="B580" s="93" t="n"/>
      <c r="C580" s="93" t="n"/>
      <c r="D580" s="93" t="n"/>
      <c r="E580" s="93" t="n"/>
      <c r="F580" s="93" t="n"/>
      <c r="G580" s="93" t="n"/>
      <c r="H580" s="93" t="n"/>
      <c r="I580" s="93" t="n"/>
      <c r="J580" s="93" t="n"/>
      <c r="K580" s="93" t="n"/>
      <c r="L580" s="93" t="n"/>
      <c r="M580" s="93" t="n"/>
      <c r="N580" s="93" t="n"/>
      <c r="O580" s="93" t="n"/>
      <c r="P580" s="93" t="n"/>
      <c r="Q580" s="93" t="n"/>
      <c r="R580" s="93" t="n"/>
      <c r="S580" s="93" t="n"/>
      <c r="T580" s="93" t="n"/>
    </row>
    <row r="581" ht="12.75" customHeight="1" s="111">
      <c r="A581" s="93" t="n"/>
      <c r="B581" s="93" t="n"/>
      <c r="C581" s="93" t="n"/>
      <c r="D581" s="93" t="n"/>
      <c r="E581" s="93" t="n"/>
      <c r="F581" s="93" t="n"/>
      <c r="G581" s="93" t="n"/>
      <c r="H581" s="93" t="n"/>
      <c r="I581" s="93" t="n"/>
      <c r="J581" s="93" t="n"/>
      <c r="K581" s="93" t="n"/>
      <c r="L581" s="93" t="n"/>
      <c r="M581" s="93" t="n"/>
      <c r="N581" s="93" t="n"/>
      <c r="O581" s="93" t="n"/>
      <c r="P581" s="93" t="n"/>
      <c r="Q581" s="93" t="n"/>
      <c r="R581" s="93" t="n"/>
      <c r="S581" s="93" t="n"/>
      <c r="T581" s="93" t="n"/>
    </row>
    <row r="582" ht="12.75" customHeight="1" s="111">
      <c r="A582" s="93" t="n"/>
      <c r="B582" s="93" t="n"/>
      <c r="C582" s="93" t="n"/>
      <c r="D582" s="93" t="n"/>
      <c r="E582" s="93" t="n"/>
      <c r="F582" s="93" t="n"/>
      <c r="G582" s="93" t="n"/>
      <c r="H582" s="93" t="n"/>
      <c r="I582" s="93" t="n"/>
      <c r="J582" s="93" t="n"/>
      <c r="K582" s="93" t="n"/>
      <c r="L582" s="93" t="n"/>
      <c r="M582" s="93" t="n"/>
      <c r="N582" s="93" t="n"/>
      <c r="O582" s="93" t="n"/>
      <c r="P582" s="93" t="n"/>
      <c r="Q582" s="93" t="n"/>
      <c r="R582" s="93" t="n"/>
      <c r="S582" s="93" t="n"/>
      <c r="T582" s="93" t="n"/>
    </row>
    <row r="583" ht="12.75" customHeight="1" s="111">
      <c r="A583" s="93" t="n"/>
      <c r="B583" s="93" t="n"/>
      <c r="C583" s="93" t="n"/>
      <c r="D583" s="93" t="n"/>
      <c r="E583" s="93" t="n"/>
      <c r="F583" s="93" t="n"/>
      <c r="G583" s="93" t="n"/>
      <c r="H583" s="93" t="n"/>
      <c r="I583" s="93" t="n"/>
      <c r="J583" s="93" t="n"/>
      <c r="K583" s="93" t="n"/>
      <c r="L583" s="93" t="n"/>
      <c r="M583" s="93" t="n"/>
      <c r="N583" s="93" t="n"/>
      <c r="O583" s="93" t="n"/>
      <c r="P583" s="93" t="n"/>
      <c r="Q583" s="93" t="n"/>
      <c r="R583" s="93" t="n"/>
      <c r="S583" s="93" t="n"/>
      <c r="T583" s="93" t="n"/>
    </row>
    <row r="584" ht="12.75" customHeight="1" s="111">
      <c r="A584" s="93" t="n"/>
      <c r="B584" s="93" t="n"/>
      <c r="C584" s="93" t="n"/>
      <c r="D584" s="93" t="n"/>
      <c r="E584" s="93" t="n"/>
      <c r="F584" s="93" t="n"/>
      <c r="G584" s="93" t="n"/>
      <c r="H584" s="93" t="n"/>
      <c r="I584" s="93" t="n"/>
      <c r="J584" s="93" t="n"/>
      <c r="K584" s="93" t="n"/>
      <c r="L584" s="93" t="n"/>
      <c r="M584" s="93" t="n"/>
      <c r="N584" s="93" t="n"/>
      <c r="O584" s="93" t="n"/>
      <c r="P584" s="93" t="n"/>
      <c r="Q584" s="93" t="n"/>
      <c r="R584" s="93" t="n"/>
      <c r="S584" s="93" t="n"/>
      <c r="T584" s="93" t="n"/>
    </row>
    <row r="585" ht="12.75" customHeight="1" s="111">
      <c r="A585" s="93" t="n"/>
      <c r="B585" s="93" t="n"/>
      <c r="C585" s="93" t="n"/>
      <c r="D585" s="93" t="n"/>
      <c r="E585" s="93" t="n"/>
      <c r="F585" s="93" t="n"/>
      <c r="G585" s="93" t="n"/>
      <c r="H585" s="93" t="n"/>
      <c r="I585" s="93" t="n"/>
      <c r="J585" s="93" t="n"/>
      <c r="K585" s="93" t="n"/>
      <c r="L585" s="93" t="n"/>
      <c r="M585" s="93" t="n"/>
      <c r="N585" s="93" t="n"/>
      <c r="O585" s="93" t="n"/>
      <c r="P585" s="93" t="n"/>
      <c r="Q585" s="93" t="n"/>
      <c r="R585" s="93" t="n"/>
      <c r="S585" s="93" t="n"/>
      <c r="T585" s="93" t="n"/>
    </row>
    <row r="586" ht="12.75" customHeight="1" s="111">
      <c r="A586" s="93" t="n"/>
      <c r="B586" s="93" t="n"/>
      <c r="C586" s="93" t="n"/>
      <c r="D586" s="93" t="n"/>
      <c r="E586" s="93" t="n"/>
      <c r="F586" s="93" t="n"/>
      <c r="G586" s="93" t="n"/>
      <c r="H586" s="93" t="n"/>
      <c r="I586" s="93" t="n"/>
      <c r="J586" s="93" t="n"/>
      <c r="K586" s="93" t="n"/>
      <c r="L586" s="93" t="n"/>
      <c r="M586" s="93" t="n"/>
      <c r="N586" s="93" t="n"/>
      <c r="O586" s="93" t="n"/>
      <c r="P586" s="93" t="n"/>
      <c r="Q586" s="93" t="n"/>
      <c r="R586" s="93" t="n"/>
      <c r="S586" s="93" t="n"/>
      <c r="T586" s="93" t="n"/>
    </row>
    <row r="587" ht="12.75" customHeight="1" s="111">
      <c r="A587" s="93" t="n"/>
      <c r="B587" s="93" t="n"/>
      <c r="C587" s="93" t="n"/>
      <c r="D587" s="93" t="n"/>
      <c r="E587" s="93" t="n"/>
      <c r="F587" s="93" t="n"/>
      <c r="G587" s="93" t="n"/>
      <c r="H587" s="93" t="n"/>
      <c r="I587" s="93" t="n"/>
      <c r="J587" s="93" t="n"/>
      <c r="K587" s="93" t="n"/>
      <c r="L587" s="93" t="n"/>
      <c r="M587" s="93" t="n"/>
      <c r="N587" s="93" t="n"/>
      <c r="O587" s="93" t="n"/>
      <c r="P587" s="93" t="n"/>
      <c r="Q587" s="93" t="n"/>
      <c r="R587" s="93" t="n"/>
      <c r="S587" s="93" t="n"/>
      <c r="T587" s="93" t="n"/>
    </row>
    <row r="588" ht="12.75" customHeight="1" s="111">
      <c r="A588" s="93" t="n"/>
      <c r="B588" s="93" t="n"/>
      <c r="C588" s="93" t="n"/>
      <c r="D588" s="93" t="n"/>
      <c r="E588" s="93" t="n"/>
      <c r="F588" s="93" t="n"/>
      <c r="G588" s="93" t="n"/>
      <c r="H588" s="93" t="n"/>
      <c r="I588" s="93" t="n"/>
      <c r="J588" s="93" t="n"/>
      <c r="K588" s="93" t="n"/>
      <c r="L588" s="93" t="n"/>
      <c r="M588" s="93" t="n"/>
      <c r="N588" s="93" t="n"/>
      <c r="O588" s="93" t="n"/>
      <c r="P588" s="93" t="n"/>
      <c r="Q588" s="93" t="n"/>
      <c r="R588" s="93" t="n"/>
      <c r="S588" s="93" t="n"/>
      <c r="T588" s="93" t="n"/>
    </row>
    <row r="589" ht="12.75" customHeight="1" s="111">
      <c r="A589" s="93" t="n"/>
      <c r="B589" s="93" t="n"/>
      <c r="C589" s="93" t="n"/>
      <c r="D589" s="93" t="n"/>
      <c r="E589" s="93" t="n"/>
      <c r="F589" s="93" t="n"/>
      <c r="G589" s="93" t="n"/>
      <c r="H589" s="93" t="n"/>
      <c r="I589" s="93" t="n"/>
      <c r="J589" s="93" t="n"/>
      <c r="K589" s="93" t="n"/>
      <c r="L589" s="93" t="n"/>
      <c r="M589" s="93" t="n"/>
      <c r="N589" s="93" t="n"/>
      <c r="O589" s="93" t="n"/>
      <c r="P589" s="93" t="n"/>
      <c r="Q589" s="93" t="n"/>
      <c r="R589" s="93" t="n"/>
      <c r="S589" s="93" t="n"/>
      <c r="T589" s="93" t="n"/>
    </row>
    <row r="590" ht="12.75" customHeight="1" s="111">
      <c r="A590" s="93" t="n"/>
      <c r="B590" s="93" t="n"/>
      <c r="C590" s="93" t="n"/>
      <c r="D590" s="93" t="n"/>
      <c r="E590" s="93" t="n"/>
      <c r="F590" s="93" t="n"/>
      <c r="G590" s="93" t="n"/>
      <c r="H590" s="93" t="n"/>
      <c r="I590" s="93" t="n"/>
      <c r="J590" s="93" t="n"/>
      <c r="K590" s="93" t="n"/>
      <c r="L590" s="93" t="n"/>
      <c r="M590" s="93" t="n"/>
      <c r="N590" s="93" t="n"/>
      <c r="O590" s="93" t="n"/>
      <c r="P590" s="93" t="n"/>
      <c r="Q590" s="93" t="n"/>
      <c r="R590" s="93" t="n"/>
      <c r="S590" s="93" t="n"/>
      <c r="T590" s="93" t="n"/>
    </row>
    <row r="591" ht="12.75" customHeight="1" s="111">
      <c r="A591" s="93" t="n"/>
      <c r="B591" s="93" t="n"/>
      <c r="C591" s="93" t="n"/>
      <c r="D591" s="93" t="n"/>
      <c r="E591" s="93" t="n"/>
      <c r="F591" s="93" t="n"/>
      <c r="G591" s="93" t="n"/>
      <c r="H591" s="93" t="n"/>
      <c r="I591" s="93" t="n"/>
      <c r="J591" s="93" t="n"/>
      <c r="K591" s="93" t="n"/>
      <c r="L591" s="93" t="n"/>
      <c r="M591" s="93" t="n"/>
      <c r="N591" s="93" t="n"/>
      <c r="O591" s="93" t="n"/>
      <c r="P591" s="93" t="n"/>
      <c r="Q591" s="93" t="n"/>
      <c r="R591" s="93" t="n"/>
      <c r="S591" s="93" t="n"/>
      <c r="T591" s="93" t="n"/>
    </row>
    <row r="592" ht="12.75" customHeight="1" s="111">
      <c r="A592" s="93" t="n"/>
      <c r="B592" s="93" t="n"/>
      <c r="C592" s="93" t="n"/>
      <c r="D592" s="93" t="n"/>
      <c r="E592" s="93" t="n"/>
      <c r="F592" s="93" t="n"/>
      <c r="G592" s="93" t="n"/>
      <c r="H592" s="93" t="n"/>
      <c r="I592" s="93" t="n"/>
      <c r="J592" s="93" t="n"/>
      <c r="K592" s="93" t="n"/>
      <c r="L592" s="93" t="n"/>
      <c r="M592" s="93" t="n"/>
      <c r="N592" s="93" t="n"/>
      <c r="O592" s="93" t="n"/>
      <c r="P592" s="93" t="n"/>
      <c r="Q592" s="93" t="n"/>
      <c r="R592" s="93" t="n"/>
      <c r="S592" s="93" t="n"/>
      <c r="T592" s="93" t="n"/>
    </row>
    <row r="593" ht="12.75" customHeight="1" s="111">
      <c r="A593" s="93" t="n"/>
      <c r="B593" s="93" t="n"/>
      <c r="C593" s="93" t="n"/>
      <c r="D593" s="93" t="n"/>
      <c r="E593" s="93" t="n"/>
      <c r="F593" s="93" t="n"/>
      <c r="G593" s="93" t="n"/>
      <c r="H593" s="93" t="n"/>
      <c r="I593" s="93" t="n"/>
      <c r="J593" s="93" t="n"/>
      <c r="K593" s="93" t="n"/>
      <c r="L593" s="93" t="n"/>
      <c r="M593" s="93" t="n"/>
      <c r="N593" s="93" t="n"/>
      <c r="O593" s="93" t="n"/>
      <c r="P593" s="93" t="n"/>
      <c r="Q593" s="93" t="n"/>
      <c r="R593" s="93" t="n"/>
      <c r="S593" s="93" t="n"/>
      <c r="T593" s="93" t="n"/>
    </row>
    <row r="594" ht="12.75" customHeight="1" s="111">
      <c r="A594" s="93" t="n"/>
      <c r="B594" s="93" t="n"/>
      <c r="C594" s="93" t="n"/>
      <c r="D594" s="93" t="n"/>
      <c r="E594" s="93" t="n"/>
      <c r="F594" s="93" t="n"/>
      <c r="G594" s="93" t="n"/>
      <c r="H594" s="93" t="n"/>
      <c r="I594" s="93" t="n"/>
      <c r="J594" s="93" t="n"/>
      <c r="K594" s="93" t="n"/>
      <c r="L594" s="93" t="n"/>
      <c r="M594" s="93" t="n"/>
      <c r="N594" s="93" t="n"/>
      <c r="O594" s="93" t="n"/>
      <c r="P594" s="93" t="n"/>
      <c r="Q594" s="93" t="n"/>
      <c r="R594" s="93" t="n"/>
      <c r="S594" s="93" t="n"/>
      <c r="T594" s="93" t="n"/>
    </row>
    <row r="595" ht="12.75" customHeight="1" s="111">
      <c r="A595" s="93" t="n"/>
      <c r="B595" s="93" t="n"/>
      <c r="C595" s="93" t="n"/>
      <c r="D595" s="93" t="n"/>
      <c r="E595" s="93" t="n"/>
      <c r="F595" s="93" t="n"/>
      <c r="G595" s="93" t="n"/>
      <c r="H595" s="93" t="n"/>
      <c r="I595" s="93" t="n"/>
      <c r="J595" s="93" t="n"/>
      <c r="K595" s="93" t="n"/>
      <c r="L595" s="93" t="n"/>
      <c r="M595" s="93" t="n"/>
      <c r="N595" s="93" t="n"/>
      <c r="O595" s="93" t="n"/>
      <c r="P595" s="93" t="n"/>
      <c r="Q595" s="93" t="n"/>
      <c r="R595" s="93" t="n"/>
      <c r="S595" s="93" t="n"/>
      <c r="T595" s="93" t="n"/>
    </row>
    <row r="596" ht="12.75" customHeight="1" s="111">
      <c r="A596" s="93" t="n"/>
      <c r="B596" s="93" t="n"/>
      <c r="C596" s="93" t="n"/>
      <c r="D596" s="93" t="n"/>
      <c r="E596" s="93" t="n"/>
      <c r="F596" s="93" t="n"/>
      <c r="G596" s="93" t="n"/>
      <c r="H596" s="93" t="n"/>
      <c r="I596" s="93" t="n"/>
      <c r="J596" s="93" t="n"/>
      <c r="K596" s="93" t="n"/>
      <c r="L596" s="93" t="n"/>
      <c r="M596" s="93" t="n"/>
      <c r="N596" s="93" t="n"/>
      <c r="O596" s="93" t="n"/>
      <c r="P596" s="93" t="n"/>
      <c r="Q596" s="93" t="n"/>
      <c r="R596" s="93" t="n"/>
      <c r="S596" s="93" t="n"/>
      <c r="T596" s="93" t="n"/>
    </row>
    <row r="597" ht="12.75" customHeight="1" s="111">
      <c r="A597" s="93" t="n"/>
      <c r="B597" s="93" t="n"/>
      <c r="C597" s="93" t="n"/>
      <c r="D597" s="93" t="n"/>
      <c r="E597" s="93" t="n"/>
      <c r="F597" s="93" t="n"/>
      <c r="G597" s="93" t="n"/>
      <c r="H597" s="93" t="n"/>
      <c r="I597" s="93" t="n"/>
      <c r="J597" s="93" t="n"/>
      <c r="K597" s="93" t="n"/>
      <c r="L597" s="93" t="n"/>
      <c r="M597" s="93" t="n"/>
      <c r="N597" s="93" t="n"/>
      <c r="O597" s="93" t="n"/>
      <c r="P597" s="93" t="n"/>
      <c r="Q597" s="93" t="n"/>
      <c r="R597" s="93" t="n"/>
      <c r="S597" s="93" t="n"/>
      <c r="T597" s="93" t="n"/>
    </row>
    <row r="598" ht="12.75" customHeight="1" s="111">
      <c r="A598" s="93" t="n"/>
      <c r="B598" s="93" t="n"/>
      <c r="C598" s="93" t="n"/>
      <c r="D598" s="93" t="n"/>
      <c r="E598" s="93" t="n"/>
      <c r="F598" s="93" t="n"/>
      <c r="G598" s="93" t="n"/>
      <c r="H598" s="93" t="n"/>
      <c r="I598" s="93" t="n"/>
      <c r="J598" s="93" t="n"/>
      <c r="K598" s="93" t="n"/>
      <c r="L598" s="93" t="n"/>
      <c r="M598" s="93" t="n"/>
      <c r="N598" s="93" t="n"/>
      <c r="O598" s="93" t="n"/>
      <c r="P598" s="93" t="n"/>
      <c r="Q598" s="93" t="n"/>
      <c r="R598" s="93" t="n"/>
      <c r="S598" s="93" t="n"/>
      <c r="T598" s="93" t="n"/>
    </row>
    <row r="599" ht="12.75" customHeight="1" s="111">
      <c r="A599" s="93" t="n"/>
      <c r="B599" s="93" t="n"/>
      <c r="C599" s="93" t="n"/>
      <c r="D599" s="93" t="n"/>
      <c r="E599" s="93" t="n"/>
      <c r="F599" s="93" t="n"/>
      <c r="G599" s="93" t="n"/>
      <c r="H599" s="93" t="n"/>
      <c r="I599" s="93" t="n"/>
      <c r="J599" s="93" t="n"/>
      <c r="K599" s="93" t="n"/>
      <c r="L599" s="93" t="n"/>
      <c r="M599" s="93" t="n"/>
      <c r="N599" s="93" t="n"/>
      <c r="O599" s="93" t="n"/>
      <c r="P599" s="93" t="n"/>
      <c r="Q599" s="93" t="n"/>
      <c r="R599" s="93" t="n"/>
      <c r="S599" s="93" t="n"/>
      <c r="T599" s="93" t="n"/>
    </row>
    <row r="600" ht="12.75" customHeight="1" s="111">
      <c r="A600" s="93" t="n"/>
      <c r="B600" s="93" t="n"/>
      <c r="C600" s="93" t="n"/>
      <c r="D600" s="93" t="n"/>
      <c r="E600" s="93" t="n"/>
      <c r="F600" s="93" t="n"/>
      <c r="G600" s="93" t="n"/>
      <c r="H600" s="93" t="n"/>
      <c r="I600" s="93" t="n"/>
      <c r="J600" s="93" t="n"/>
      <c r="K600" s="93" t="n"/>
      <c r="L600" s="93" t="n"/>
      <c r="M600" s="93" t="n"/>
      <c r="N600" s="93" t="n"/>
      <c r="O600" s="93" t="n"/>
      <c r="P600" s="93" t="n"/>
      <c r="Q600" s="93" t="n"/>
      <c r="R600" s="93" t="n"/>
      <c r="S600" s="93" t="n"/>
      <c r="T600" s="93" t="n"/>
    </row>
    <row r="601" ht="12.75" customHeight="1" s="111">
      <c r="A601" s="93" t="n"/>
      <c r="B601" s="93" t="n"/>
      <c r="C601" s="93" t="n"/>
      <c r="D601" s="93" t="n"/>
      <c r="E601" s="93" t="n"/>
      <c r="F601" s="93" t="n"/>
      <c r="G601" s="93" t="n"/>
      <c r="H601" s="93" t="n"/>
      <c r="I601" s="93" t="n"/>
      <c r="J601" s="93" t="n"/>
      <c r="K601" s="93" t="n"/>
      <c r="L601" s="93" t="n"/>
      <c r="M601" s="93" t="n"/>
      <c r="N601" s="93" t="n"/>
      <c r="O601" s="93" t="n"/>
      <c r="P601" s="93" t="n"/>
      <c r="Q601" s="93" t="n"/>
      <c r="R601" s="93" t="n"/>
      <c r="S601" s="93" t="n"/>
      <c r="T601" s="93" t="n"/>
    </row>
    <row r="602" ht="12.75" customHeight="1" s="111">
      <c r="A602" s="93" t="n"/>
      <c r="B602" s="93" t="n"/>
      <c r="C602" s="93" t="n"/>
      <c r="D602" s="93" t="n"/>
      <c r="E602" s="93" t="n"/>
      <c r="F602" s="93" t="n"/>
      <c r="G602" s="93" t="n"/>
      <c r="H602" s="93" t="n"/>
      <c r="I602" s="93" t="n"/>
      <c r="J602" s="93" t="n"/>
      <c r="K602" s="93" t="n"/>
      <c r="L602" s="93" t="n"/>
      <c r="M602" s="93" t="n"/>
      <c r="N602" s="93" t="n"/>
      <c r="O602" s="93" t="n"/>
      <c r="P602" s="93" t="n"/>
      <c r="Q602" s="93" t="n"/>
      <c r="R602" s="93" t="n"/>
      <c r="S602" s="93" t="n"/>
      <c r="T602" s="93" t="n"/>
    </row>
    <row r="603" ht="12.75" customHeight="1" s="111">
      <c r="A603" s="93" t="n"/>
      <c r="B603" s="93" t="n"/>
      <c r="C603" s="93" t="n"/>
      <c r="D603" s="93" t="n"/>
      <c r="E603" s="93" t="n"/>
      <c r="F603" s="93" t="n"/>
      <c r="G603" s="93" t="n"/>
      <c r="H603" s="93" t="n"/>
      <c r="I603" s="93" t="n"/>
      <c r="J603" s="93" t="n"/>
      <c r="K603" s="93" t="n"/>
      <c r="L603" s="93" t="n"/>
      <c r="M603" s="93" t="n"/>
      <c r="N603" s="93" t="n"/>
      <c r="O603" s="93" t="n"/>
      <c r="P603" s="93" t="n"/>
      <c r="Q603" s="93" t="n"/>
      <c r="R603" s="93" t="n"/>
      <c r="S603" s="93" t="n"/>
      <c r="T603" s="93" t="n"/>
    </row>
    <row r="604" ht="12.75" customHeight="1" s="111">
      <c r="A604" s="93" t="n"/>
      <c r="B604" s="93" t="n"/>
      <c r="C604" s="93" t="n"/>
      <c r="D604" s="93" t="n"/>
      <c r="E604" s="93" t="n"/>
      <c r="F604" s="93" t="n"/>
      <c r="G604" s="93" t="n"/>
      <c r="H604" s="93" t="n"/>
      <c r="I604" s="93" t="n"/>
      <c r="J604" s="93" t="n"/>
      <c r="K604" s="93" t="n"/>
      <c r="L604" s="93" t="n"/>
      <c r="M604" s="93" t="n"/>
      <c r="N604" s="93" t="n"/>
      <c r="O604" s="93" t="n"/>
      <c r="P604" s="93" t="n"/>
      <c r="Q604" s="93" t="n"/>
      <c r="R604" s="93" t="n"/>
      <c r="S604" s="93" t="n"/>
      <c r="T604" s="93" t="n"/>
    </row>
    <row r="605" ht="12.75" customHeight="1" s="111">
      <c r="A605" s="93" t="n"/>
      <c r="B605" s="93" t="n"/>
      <c r="C605" s="93" t="n"/>
      <c r="D605" s="93" t="n"/>
      <c r="E605" s="93" t="n"/>
      <c r="F605" s="93" t="n"/>
      <c r="G605" s="93" t="n"/>
      <c r="H605" s="93" t="n"/>
      <c r="I605" s="93" t="n"/>
      <c r="J605" s="93" t="n"/>
      <c r="K605" s="93" t="n"/>
      <c r="L605" s="93" t="n"/>
      <c r="M605" s="93" t="n"/>
      <c r="N605" s="93" t="n"/>
      <c r="O605" s="93" t="n"/>
      <c r="P605" s="93" t="n"/>
      <c r="Q605" s="93" t="n"/>
      <c r="R605" s="93" t="n"/>
      <c r="S605" s="93" t="n"/>
      <c r="T605" s="93" t="n"/>
    </row>
    <row r="606" ht="12.75" customHeight="1" s="111">
      <c r="A606" s="93" t="n"/>
      <c r="B606" s="93" t="n"/>
      <c r="C606" s="93" t="n"/>
      <c r="D606" s="93" t="n"/>
      <c r="E606" s="93" t="n"/>
      <c r="F606" s="93" t="n"/>
      <c r="G606" s="93" t="n"/>
      <c r="H606" s="93" t="n"/>
      <c r="I606" s="93" t="n"/>
      <c r="J606" s="93" t="n"/>
      <c r="K606" s="93" t="n"/>
      <c r="L606" s="93" t="n"/>
      <c r="M606" s="93" t="n"/>
      <c r="N606" s="93" t="n"/>
      <c r="O606" s="93" t="n"/>
      <c r="P606" s="93" t="n"/>
      <c r="Q606" s="93" t="n"/>
      <c r="R606" s="93" t="n"/>
      <c r="S606" s="93" t="n"/>
      <c r="T606" s="93" t="n"/>
    </row>
    <row r="607" ht="12.75" customHeight="1" s="111">
      <c r="A607" s="93" t="n"/>
      <c r="B607" s="93" t="n"/>
      <c r="C607" s="93" t="n"/>
      <c r="D607" s="93" t="n"/>
      <c r="E607" s="93" t="n"/>
      <c r="F607" s="93" t="n"/>
      <c r="G607" s="93" t="n"/>
      <c r="H607" s="93" t="n"/>
      <c r="I607" s="93" t="n"/>
      <c r="J607" s="93" t="n"/>
      <c r="K607" s="93" t="n"/>
      <c r="L607" s="93" t="n"/>
      <c r="M607" s="93" t="n"/>
      <c r="N607" s="93" t="n"/>
      <c r="O607" s="93" t="n"/>
      <c r="P607" s="93" t="n"/>
      <c r="Q607" s="93" t="n"/>
      <c r="R607" s="93" t="n"/>
      <c r="S607" s="93" t="n"/>
      <c r="T607" s="93" t="n"/>
    </row>
    <row r="608" ht="12.75" customHeight="1" s="111">
      <c r="A608" s="93" t="n"/>
      <c r="B608" s="93" t="n"/>
      <c r="C608" s="93" t="n"/>
      <c r="D608" s="93" t="n"/>
      <c r="E608" s="93" t="n"/>
      <c r="F608" s="93" t="n"/>
      <c r="G608" s="93" t="n"/>
      <c r="H608" s="93" t="n"/>
      <c r="I608" s="93" t="n"/>
      <c r="J608" s="93" t="n"/>
      <c r="K608" s="93" t="n"/>
      <c r="L608" s="93" t="n"/>
      <c r="M608" s="93" t="n"/>
      <c r="N608" s="93" t="n"/>
      <c r="O608" s="93" t="n"/>
      <c r="P608" s="93" t="n"/>
      <c r="Q608" s="93" t="n"/>
      <c r="R608" s="93" t="n"/>
      <c r="S608" s="93" t="n"/>
      <c r="T608" s="93" t="n"/>
    </row>
    <row r="609" ht="12.75" customHeight="1" s="111">
      <c r="A609" s="93" t="n"/>
      <c r="B609" s="93" t="n"/>
      <c r="C609" s="93" t="n"/>
      <c r="D609" s="93" t="n"/>
      <c r="E609" s="93" t="n"/>
      <c r="F609" s="93" t="n"/>
      <c r="G609" s="93" t="n"/>
      <c r="H609" s="93" t="n"/>
      <c r="I609" s="93" t="n"/>
      <c r="J609" s="93" t="n"/>
      <c r="K609" s="93" t="n"/>
      <c r="L609" s="93" t="n"/>
      <c r="M609" s="93" t="n"/>
      <c r="N609" s="93" t="n"/>
      <c r="O609" s="93" t="n"/>
      <c r="P609" s="93" t="n"/>
      <c r="Q609" s="93" t="n"/>
      <c r="R609" s="93" t="n"/>
      <c r="S609" s="93" t="n"/>
      <c r="T609" s="93" t="n"/>
    </row>
    <row r="610" ht="12.75" customHeight="1" s="111">
      <c r="A610" s="93" t="n"/>
      <c r="B610" s="93" t="n"/>
      <c r="C610" s="93" t="n"/>
      <c r="D610" s="93" t="n"/>
      <c r="E610" s="93" t="n"/>
      <c r="F610" s="93" t="n"/>
      <c r="G610" s="93" t="n"/>
      <c r="H610" s="93" t="n"/>
      <c r="I610" s="93" t="n"/>
      <c r="J610" s="93" t="n"/>
      <c r="K610" s="93" t="n"/>
      <c r="L610" s="93" t="n"/>
      <c r="M610" s="93" t="n"/>
      <c r="N610" s="93" t="n"/>
      <c r="O610" s="93" t="n"/>
      <c r="P610" s="93" t="n"/>
      <c r="Q610" s="93" t="n"/>
      <c r="R610" s="93" t="n"/>
      <c r="S610" s="93" t="n"/>
      <c r="T610" s="93" t="n"/>
    </row>
    <row r="611" ht="12.75" customHeight="1" s="111">
      <c r="A611" s="93" t="n"/>
      <c r="B611" s="93" t="n"/>
      <c r="C611" s="93" t="n"/>
      <c r="D611" s="93" t="n"/>
      <c r="E611" s="93" t="n"/>
      <c r="F611" s="93" t="n"/>
      <c r="G611" s="93" t="n"/>
      <c r="H611" s="93" t="n"/>
      <c r="I611" s="93" t="n"/>
      <c r="J611" s="93" t="n"/>
      <c r="K611" s="93" t="n"/>
      <c r="L611" s="93" t="n"/>
      <c r="M611" s="93" t="n"/>
      <c r="N611" s="93" t="n"/>
      <c r="O611" s="93" t="n"/>
      <c r="P611" s="93" t="n"/>
      <c r="Q611" s="93" t="n"/>
      <c r="R611" s="93" t="n"/>
      <c r="S611" s="93" t="n"/>
      <c r="T611" s="93" t="n"/>
    </row>
    <row r="612" ht="12.75" customHeight="1" s="111">
      <c r="A612" s="93" t="n"/>
      <c r="B612" s="93" t="n"/>
      <c r="C612" s="93" t="n"/>
      <c r="D612" s="93" t="n"/>
      <c r="E612" s="93" t="n"/>
      <c r="F612" s="93" t="n"/>
      <c r="G612" s="93" t="n"/>
      <c r="H612" s="93" t="n"/>
      <c r="I612" s="93" t="n"/>
      <c r="J612" s="93" t="n"/>
      <c r="K612" s="93" t="n"/>
      <c r="L612" s="93" t="n"/>
      <c r="M612" s="93" t="n"/>
      <c r="N612" s="93" t="n"/>
      <c r="O612" s="93" t="n"/>
      <c r="P612" s="93" t="n"/>
      <c r="Q612" s="93" t="n"/>
      <c r="R612" s="93" t="n"/>
      <c r="S612" s="93" t="n"/>
      <c r="T612" s="93" t="n"/>
    </row>
    <row r="613" ht="12.75" customHeight="1" s="111">
      <c r="A613" s="93" t="n"/>
      <c r="B613" s="93" t="n"/>
      <c r="C613" s="93" t="n"/>
      <c r="D613" s="93" t="n"/>
      <c r="E613" s="93" t="n"/>
      <c r="F613" s="93" t="n"/>
      <c r="G613" s="93" t="n"/>
      <c r="H613" s="93" t="n"/>
      <c r="I613" s="93" t="n"/>
      <c r="J613" s="93" t="n"/>
      <c r="K613" s="93" t="n"/>
      <c r="L613" s="93" t="n"/>
      <c r="M613" s="93" t="n"/>
      <c r="N613" s="93" t="n"/>
      <c r="O613" s="93" t="n"/>
      <c r="P613" s="93" t="n"/>
      <c r="Q613" s="93" t="n"/>
      <c r="R613" s="93" t="n"/>
      <c r="S613" s="93" t="n"/>
      <c r="T613" s="93" t="n"/>
    </row>
    <row r="614" ht="12.75" customHeight="1" s="111">
      <c r="A614" s="93" t="n"/>
      <c r="B614" s="93" t="n"/>
      <c r="C614" s="93" t="n"/>
      <c r="D614" s="93" t="n"/>
      <c r="E614" s="93" t="n"/>
      <c r="F614" s="93" t="n"/>
      <c r="G614" s="93" t="n"/>
      <c r="H614" s="93" t="n"/>
      <c r="I614" s="93" t="n"/>
      <c r="J614" s="93" t="n"/>
      <c r="K614" s="93" t="n"/>
      <c r="L614" s="93" t="n"/>
      <c r="M614" s="93" t="n"/>
      <c r="N614" s="93" t="n"/>
      <c r="O614" s="93" t="n"/>
      <c r="P614" s="93" t="n"/>
      <c r="Q614" s="93" t="n"/>
      <c r="R614" s="93" t="n"/>
      <c r="S614" s="93" t="n"/>
      <c r="T614" s="93" t="n"/>
    </row>
    <row r="615" ht="12.75" customHeight="1" s="111">
      <c r="A615" s="93" t="n"/>
      <c r="B615" s="93" t="n"/>
      <c r="C615" s="93" t="n"/>
      <c r="D615" s="93" t="n"/>
      <c r="E615" s="93" t="n"/>
      <c r="F615" s="93" t="n"/>
      <c r="G615" s="93" t="n"/>
      <c r="H615" s="93" t="n"/>
      <c r="I615" s="93" t="n"/>
      <c r="J615" s="93" t="n"/>
      <c r="K615" s="93" t="n"/>
      <c r="L615" s="93" t="n"/>
      <c r="M615" s="93" t="n"/>
      <c r="N615" s="93" t="n"/>
      <c r="O615" s="93" t="n"/>
      <c r="P615" s="93" t="n"/>
      <c r="Q615" s="93" t="n"/>
      <c r="R615" s="93" t="n"/>
      <c r="S615" s="93" t="n"/>
      <c r="T615" s="93" t="n"/>
    </row>
    <row r="616" ht="12.75" customHeight="1" s="111">
      <c r="A616" s="93" t="n"/>
      <c r="B616" s="93" t="n"/>
      <c r="C616" s="93" t="n"/>
      <c r="D616" s="93" t="n"/>
      <c r="E616" s="93" t="n"/>
      <c r="F616" s="93" t="n"/>
      <c r="G616" s="93" t="n"/>
      <c r="H616" s="93" t="n"/>
      <c r="I616" s="93" t="n"/>
      <c r="J616" s="93" t="n"/>
      <c r="K616" s="93" t="n"/>
      <c r="L616" s="93" t="n"/>
      <c r="M616" s="93" t="n"/>
      <c r="N616" s="93" t="n"/>
      <c r="O616" s="93" t="n"/>
      <c r="P616" s="93" t="n"/>
      <c r="Q616" s="93" t="n"/>
      <c r="R616" s="93" t="n"/>
      <c r="S616" s="93" t="n"/>
      <c r="T616" s="93" t="n"/>
    </row>
    <row r="617" ht="12.75" customHeight="1" s="111">
      <c r="A617" s="93" t="n"/>
      <c r="B617" s="93" t="n"/>
      <c r="C617" s="93" t="n"/>
      <c r="D617" s="93" t="n"/>
      <c r="E617" s="93" t="n"/>
      <c r="F617" s="93" t="n"/>
      <c r="G617" s="93" t="n"/>
      <c r="H617" s="93" t="n"/>
      <c r="I617" s="93" t="n"/>
      <c r="J617" s="93" t="n"/>
      <c r="K617" s="93" t="n"/>
      <c r="L617" s="93" t="n"/>
      <c r="M617" s="93" t="n"/>
      <c r="N617" s="93" t="n"/>
      <c r="O617" s="93" t="n"/>
      <c r="P617" s="93" t="n"/>
      <c r="Q617" s="93" t="n"/>
      <c r="R617" s="93" t="n"/>
      <c r="S617" s="93" t="n"/>
      <c r="T617" s="93" t="n"/>
    </row>
    <row r="618" ht="12.75" customHeight="1" s="111">
      <c r="A618" s="93" t="n"/>
      <c r="B618" s="93" t="n"/>
      <c r="C618" s="93" t="n"/>
      <c r="D618" s="93" t="n"/>
      <c r="E618" s="93" t="n"/>
      <c r="F618" s="93" t="n"/>
      <c r="G618" s="93" t="n"/>
      <c r="H618" s="93" t="n"/>
      <c r="I618" s="93" t="n"/>
      <c r="J618" s="93" t="n"/>
      <c r="K618" s="93" t="n"/>
      <c r="L618" s="93" t="n"/>
      <c r="M618" s="93" t="n"/>
      <c r="N618" s="93" t="n"/>
      <c r="O618" s="93" t="n"/>
      <c r="P618" s="93" t="n"/>
      <c r="Q618" s="93" t="n"/>
      <c r="R618" s="93" t="n"/>
      <c r="S618" s="93" t="n"/>
      <c r="T618" s="93" t="n"/>
    </row>
    <row r="619" ht="12.75" customHeight="1" s="111">
      <c r="A619" s="93" t="n"/>
      <c r="B619" s="93" t="n"/>
      <c r="C619" s="93" t="n"/>
      <c r="D619" s="93" t="n"/>
      <c r="E619" s="93" t="n"/>
      <c r="F619" s="93" t="n"/>
      <c r="G619" s="93" t="n"/>
      <c r="H619" s="93" t="n"/>
      <c r="I619" s="93" t="n"/>
      <c r="J619" s="93" t="n"/>
      <c r="K619" s="93" t="n"/>
      <c r="L619" s="93" t="n"/>
      <c r="M619" s="93" t="n"/>
      <c r="N619" s="93" t="n"/>
      <c r="O619" s="93" t="n"/>
      <c r="P619" s="93" t="n"/>
      <c r="Q619" s="93" t="n"/>
      <c r="R619" s="93" t="n"/>
      <c r="S619" s="93" t="n"/>
      <c r="T619" s="93" t="n"/>
    </row>
    <row r="620" ht="12.75" customHeight="1" s="111">
      <c r="A620" s="93" t="n"/>
      <c r="B620" s="93" t="n"/>
      <c r="C620" s="93" t="n"/>
      <c r="D620" s="93" t="n"/>
      <c r="E620" s="93" t="n"/>
      <c r="F620" s="93" t="n"/>
      <c r="G620" s="93" t="n"/>
      <c r="H620" s="93" t="n"/>
      <c r="I620" s="93" t="n"/>
      <c r="J620" s="93" t="n"/>
      <c r="K620" s="93" t="n"/>
      <c r="L620" s="93" t="n"/>
      <c r="M620" s="93" t="n"/>
      <c r="N620" s="93" t="n"/>
      <c r="O620" s="93" t="n"/>
      <c r="P620" s="93" t="n"/>
      <c r="Q620" s="93" t="n"/>
      <c r="R620" s="93" t="n"/>
      <c r="S620" s="93" t="n"/>
      <c r="T620" s="93" t="n"/>
    </row>
    <row r="621" ht="12.75" customHeight="1" s="111">
      <c r="A621" s="93" t="n"/>
      <c r="B621" s="93" t="n"/>
      <c r="C621" s="93" t="n"/>
      <c r="D621" s="93" t="n"/>
      <c r="E621" s="93" t="n"/>
      <c r="F621" s="93" t="n"/>
      <c r="G621" s="93" t="n"/>
      <c r="H621" s="93" t="n"/>
      <c r="I621" s="93" t="n"/>
      <c r="J621" s="93" t="n"/>
      <c r="K621" s="93" t="n"/>
      <c r="L621" s="93" t="n"/>
      <c r="M621" s="93" t="n"/>
      <c r="N621" s="93" t="n"/>
      <c r="O621" s="93" t="n"/>
      <c r="P621" s="93" t="n"/>
      <c r="Q621" s="93" t="n"/>
      <c r="R621" s="93" t="n"/>
      <c r="S621" s="93" t="n"/>
      <c r="T621" s="93" t="n"/>
    </row>
    <row r="622" ht="12.75" customHeight="1" s="111">
      <c r="A622" s="93" t="n"/>
      <c r="B622" s="93" t="n"/>
      <c r="C622" s="93" t="n"/>
      <c r="D622" s="93" t="n"/>
      <c r="E622" s="93" t="n"/>
      <c r="F622" s="93" t="n"/>
      <c r="G622" s="93" t="n"/>
      <c r="H622" s="93" t="n"/>
      <c r="I622" s="93" t="n"/>
      <c r="J622" s="93" t="n"/>
      <c r="K622" s="93" t="n"/>
      <c r="L622" s="93" t="n"/>
      <c r="M622" s="93" t="n"/>
      <c r="N622" s="93" t="n"/>
      <c r="O622" s="93" t="n"/>
      <c r="P622" s="93" t="n"/>
      <c r="Q622" s="93" t="n"/>
      <c r="R622" s="93" t="n"/>
      <c r="S622" s="93" t="n"/>
      <c r="T622" s="93" t="n"/>
    </row>
    <row r="623" ht="12.75" customHeight="1" s="111">
      <c r="A623" s="93" t="n"/>
      <c r="B623" s="93" t="n"/>
      <c r="C623" s="93" t="n"/>
      <c r="D623" s="93" t="n"/>
      <c r="E623" s="93" t="n"/>
      <c r="F623" s="93" t="n"/>
      <c r="G623" s="93" t="n"/>
      <c r="H623" s="93" t="n"/>
      <c r="I623" s="93" t="n"/>
      <c r="J623" s="93" t="n"/>
      <c r="K623" s="93" t="n"/>
      <c r="L623" s="93" t="n"/>
      <c r="M623" s="93" t="n"/>
      <c r="N623" s="93" t="n"/>
      <c r="O623" s="93" t="n"/>
      <c r="P623" s="93" t="n"/>
      <c r="Q623" s="93" t="n"/>
      <c r="R623" s="93" t="n"/>
      <c r="S623" s="93" t="n"/>
      <c r="T623" s="93" t="n"/>
    </row>
    <row r="624" ht="12.75" customHeight="1" s="111">
      <c r="A624" s="93" t="n"/>
      <c r="B624" s="93" t="n"/>
      <c r="C624" s="93" t="n"/>
      <c r="D624" s="93" t="n"/>
      <c r="E624" s="93" t="n"/>
      <c r="F624" s="93" t="n"/>
      <c r="G624" s="93" t="n"/>
      <c r="H624" s="93" t="n"/>
      <c r="I624" s="93" t="n"/>
      <c r="J624" s="93" t="n"/>
      <c r="K624" s="93" t="n"/>
      <c r="L624" s="93" t="n"/>
      <c r="M624" s="93" t="n"/>
      <c r="N624" s="93" t="n"/>
      <c r="O624" s="93" t="n"/>
      <c r="P624" s="93" t="n"/>
      <c r="Q624" s="93" t="n"/>
      <c r="R624" s="93" t="n"/>
      <c r="S624" s="93" t="n"/>
      <c r="T624" s="93" t="n"/>
    </row>
    <row r="625" ht="12.75" customHeight="1" s="111">
      <c r="A625" s="93" t="n"/>
      <c r="B625" s="93" t="n"/>
      <c r="C625" s="93" t="n"/>
      <c r="D625" s="93" t="n"/>
      <c r="E625" s="93" t="n"/>
      <c r="F625" s="93" t="n"/>
      <c r="G625" s="93" t="n"/>
      <c r="H625" s="93" t="n"/>
      <c r="I625" s="93" t="n"/>
      <c r="J625" s="93" t="n"/>
      <c r="K625" s="93" t="n"/>
      <c r="L625" s="93" t="n"/>
      <c r="M625" s="93" t="n"/>
      <c r="N625" s="93" t="n"/>
      <c r="O625" s="93" t="n"/>
      <c r="P625" s="93" t="n"/>
      <c r="Q625" s="93" t="n"/>
      <c r="R625" s="93" t="n"/>
      <c r="S625" s="93" t="n"/>
      <c r="T625" s="93" t="n"/>
    </row>
    <row r="626" ht="12.75" customHeight="1" s="111">
      <c r="A626" s="93" t="n"/>
      <c r="B626" s="93" t="n"/>
      <c r="C626" s="93" t="n"/>
      <c r="D626" s="93" t="n"/>
      <c r="E626" s="93" t="n"/>
      <c r="F626" s="93" t="n"/>
      <c r="G626" s="93" t="n"/>
      <c r="H626" s="93" t="n"/>
      <c r="I626" s="93" t="n"/>
      <c r="J626" s="93" t="n"/>
      <c r="K626" s="93" t="n"/>
      <c r="L626" s="93" t="n"/>
      <c r="M626" s="93" t="n"/>
      <c r="N626" s="93" t="n"/>
      <c r="O626" s="93" t="n"/>
      <c r="P626" s="93" t="n"/>
      <c r="Q626" s="93" t="n"/>
      <c r="R626" s="93" t="n"/>
      <c r="S626" s="93" t="n"/>
      <c r="T626" s="93" t="n"/>
    </row>
    <row r="627" ht="12.75" customHeight="1" s="111">
      <c r="A627" s="93" t="n"/>
      <c r="B627" s="93" t="n"/>
      <c r="C627" s="93" t="n"/>
      <c r="D627" s="93" t="n"/>
      <c r="E627" s="93" t="n"/>
      <c r="F627" s="93" t="n"/>
      <c r="G627" s="93" t="n"/>
      <c r="H627" s="93" t="n"/>
      <c r="I627" s="93" t="n"/>
      <c r="J627" s="93" t="n"/>
      <c r="K627" s="93" t="n"/>
      <c r="L627" s="93" t="n"/>
      <c r="M627" s="93" t="n"/>
      <c r="N627" s="93" t="n"/>
      <c r="O627" s="93" t="n"/>
      <c r="P627" s="93" t="n"/>
      <c r="Q627" s="93" t="n"/>
      <c r="R627" s="93" t="n"/>
      <c r="S627" s="93" t="n"/>
      <c r="T627" s="93" t="n"/>
    </row>
    <row r="628" ht="12.75" customHeight="1" s="111">
      <c r="A628" s="93" t="n"/>
      <c r="B628" s="93" t="n"/>
      <c r="C628" s="93" t="n"/>
      <c r="D628" s="93" t="n"/>
      <c r="E628" s="93" t="n"/>
      <c r="F628" s="93" t="n"/>
      <c r="G628" s="93" t="n"/>
      <c r="H628" s="93" t="n"/>
      <c r="I628" s="93" t="n"/>
      <c r="J628" s="93" t="n"/>
      <c r="K628" s="93" t="n"/>
      <c r="L628" s="93" t="n"/>
      <c r="M628" s="93" t="n"/>
      <c r="N628" s="93" t="n"/>
      <c r="O628" s="93" t="n"/>
      <c r="P628" s="93" t="n"/>
      <c r="Q628" s="93" t="n"/>
      <c r="R628" s="93" t="n"/>
      <c r="S628" s="93" t="n"/>
      <c r="T628" s="93" t="n"/>
    </row>
    <row r="629" ht="12.75" customHeight="1" s="111">
      <c r="A629" s="93" t="n"/>
      <c r="B629" s="93" t="n"/>
      <c r="C629" s="93" t="n"/>
      <c r="D629" s="93" t="n"/>
      <c r="E629" s="93" t="n"/>
      <c r="F629" s="93" t="n"/>
      <c r="G629" s="93" t="n"/>
      <c r="H629" s="93" t="n"/>
      <c r="I629" s="93" t="n"/>
      <c r="J629" s="93" t="n"/>
      <c r="K629" s="93" t="n"/>
      <c r="L629" s="93" t="n"/>
      <c r="M629" s="93" t="n"/>
      <c r="N629" s="93" t="n"/>
      <c r="O629" s="93" t="n"/>
      <c r="P629" s="93" t="n"/>
      <c r="Q629" s="93" t="n"/>
      <c r="R629" s="93" t="n"/>
      <c r="S629" s="93" t="n"/>
      <c r="T629" s="93" t="n"/>
    </row>
    <row r="630" ht="12.75" customHeight="1" s="111">
      <c r="A630" s="93" t="n"/>
      <c r="B630" s="93" t="n"/>
      <c r="C630" s="93" t="n"/>
      <c r="D630" s="93" t="n"/>
      <c r="E630" s="93" t="n"/>
      <c r="F630" s="93" t="n"/>
      <c r="G630" s="93" t="n"/>
      <c r="H630" s="93" t="n"/>
      <c r="I630" s="93" t="n"/>
      <c r="J630" s="93" t="n"/>
      <c r="K630" s="93" t="n"/>
      <c r="L630" s="93" t="n"/>
      <c r="M630" s="93" t="n"/>
      <c r="N630" s="93" t="n"/>
      <c r="O630" s="93" t="n"/>
      <c r="P630" s="93" t="n"/>
      <c r="Q630" s="93" t="n"/>
      <c r="R630" s="93" t="n"/>
      <c r="S630" s="93" t="n"/>
      <c r="T630" s="93" t="n"/>
    </row>
    <row r="631" ht="12.75" customHeight="1" s="111">
      <c r="A631" s="93" t="n"/>
      <c r="B631" s="93" t="n"/>
      <c r="C631" s="93" t="n"/>
      <c r="D631" s="93" t="n"/>
      <c r="E631" s="93" t="n"/>
      <c r="F631" s="93" t="n"/>
      <c r="G631" s="93" t="n"/>
      <c r="H631" s="93" t="n"/>
      <c r="I631" s="93" t="n"/>
      <c r="J631" s="93" t="n"/>
      <c r="K631" s="93" t="n"/>
      <c r="L631" s="93" t="n"/>
      <c r="M631" s="93" t="n"/>
      <c r="N631" s="93" t="n"/>
      <c r="O631" s="93" t="n"/>
      <c r="P631" s="93" t="n"/>
      <c r="Q631" s="93" t="n"/>
      <c r="R631" s="93" t="n"/>
      <c r="S631" s="93" t="n"/>
      <c r="T631" s="93" t="n"/>
    </row>
    <row r="632" ht="12.75" customHeight="1" s="111">
      <c r="A632" s="93" t="n"/>
      <c r="B632" s="93" t="n"/>
      <c r="C632" s="93" t="n"/>
      <c r="D632" s="93" t="n"/>
      <c r="E632" s="93" t="n"/>
      <c r="F632" s="93" t="n"/>
      <c r="G632" s="93" t="n"/>
      <c r="H632" s="93" t="n"/>
      <c r="I632" s="93" t="n"/>
      <c r="J632" s="93" t="n"/>
      <c r="K632" s="93" t="n"/>
      <c r="L632" s="93" t="n"/>
      <c r="M632" s="93" t="n"/>
      <c r="N632" s="93" t="n"/>
      <c r="O632" s="93" t="n"/>
      <c r="P632" s="93" t="n"/>
      <c r="Q632" s="93" t="n"/>
      <c r="R632" s="93" t="n"/>
      <c r="S632" s="93" t="n"/>
      <c r="T632" s="93" t="n"/>
    </row>
    <row r="633" ht="12.75" customHeight="1" s="111">
      <c r="A633" s="93" t="n"/>
      <c r="B633" s="93" t="n"/>
      <c r="C633" s="93" t="n"/>
      <c r="D633" s="93" t="n"/>
      <c r="E633" s="93" t="n"/>
      <c r="F633" s="93" t="n"/>
      <c r="G633" s="93" t="n"/>
      <c r="H633" s="93" t="n"/>
      <c r="I633" s="93" t="n"/>
      <c r="J633" s="93" t="n"/>
      <c r="K633" s="93" t="n"/>
      <c r="L633" s="93" t="n"/>
      <c r="M633" s="93" t="n"/>
      <c r="N633" s="93" t="n"/>
      <c r="O633" s="93" t="n"/>
      <c r="P633" s="93" t="n"/>
      <c r="Q633" s="93" t="n"/>
      <c r="R633" s="93" t="n"/>
      <c r="S633" s="93" t="n"/>
      <c r="T633" s="93" t="n"/>
    </row>
    <row r="634" ht="12.75" customHeight="1" s="111">
      <c r="A634" s="93" t="n"/>
      <c r="B634" s="93" t="n"/>
      <c r="C634" s="93" t="n"/>
      <c r="D634" s="93" t="n"/>
      <c r="E634" s="93" t="n"/>
      <c r="F634" s="93" t="n"/>
      <c r="G634" s="93" t="n"/>
      <c r="H634" s="93" t="n"/>
      <c r="I634" s="93" t="n"/>
      <c r="J634" s="93" t="n"/>
      <c r="K634" s="93" t="n"/>
      <c r="L634" s="93" t="n"/>
      <c r="M634" s="93" t="n"/>
      <c r="N634" s="93" t="n"/>
      <c r="O634" s="93" t="n"/>
      <c r="P634" s="93" t="n"/>
      <c r="Q634" s="93" t="n"/>
      <c r="R634" s="93" t="n"/>
      <c r="S634" s="93" t="n"/>
      <c r="T634" s="93" t="n"/>
    </row>
    <row r="635" ht="12.75" customHeight="1" s="111">
      <c r="A635" s="93" t="n"/>
      <c r="B635" s="93" t="n"/>
      <c r="C635" s="93" t="n"/>
      <c r="D635" s="93" t="n"/>
      <c r="E635" s="93" t="n"/>
      <c r="F635" s="93" t="n"/>
      <c r="G635" s="93" t="n"/>
      <c r="H635" s="93" t="n"/>
      <c r="I635" s="93" t="n"/>
      <c r="J635" s="93" t="n"/>
      <c r="K635" s="93" t="n"/>
      <c r="L635" s="93" t="n"/>
      <c r="M635" s="93" t="n"/>
      <c r="N635" s="93" t="n"/>
      <c r="O635" s="93" t="n"/>
      <c r="P635" s="93" t="n"/>
      <c r="Q635" s="93" t="n"/>
      <c r="R635" s="93" t="n"/>
      <c r="S635" s="93" t="n"/>
      <c r="T635" s="93" t="n"/>
    </row>
    <row r="636" ht="12.75" customHeight="1" s="111">
      <c r="A636" s="93" t="n"/>
      <c r="B636" s="93" t="n"/>
      <c r="C636" s="93" t="n"/>
      <c r="D636" s="93" t="n"/>
      <c r="E636" s="93" t="n"/>
      <c r="F636" s="93" t="n"/>
      <c r="G636" s="93" t="n"/>
      <c r="H636" s="93" t="n"/>
      <c r="I636" s="93" t="n"/>
      <c r="J636" s="93" t="n"/>
      <c r="K636" s="93" t="n"/>
      <c r="L636" s="93" t="n"/>
      <c r="M636" s="93" t="n"/>
      <c r="N636" s="93" t="n"/>
      <c r="O636" s="93" t="n"/>
      <c r="P636" s="93" t="n"/>
      <c r="Q636" s="93" t="n"/>
      <c r="R636" s="93" t="n"/>
      <c r="S636" s="93" t="n"/>
      <c r="T636" s="93" t="n"/>
    </row>
    <row r="637" ht="12.75" customHeight="1" s="111">
      <c r="A637" s="93" t="n"/>
      <c r="B637" s="93" t="n"/>
      <c r="C637" s="93" t="n"/>
      <c r="D637" s="93" t="n"/>
      <c r="E637" s="93" t="n"/>
      <c r="F637" s="93" t="n"/>
      <c r="G637" s="93" t="n"/>
      <c r="H637" s="93" t="n"/>
      <c r="I637" s="93" t="n"/>
      <c r="J637" s="93" t="n"/>
      <c r="K637" s="93" t="n"/>
      <c r="L637" s="93" t="n"/>
      <c r="M637" s="93" t="n"/>
      <c r="N637" s="93" t="n"/>
      <c r="O637" s="93" t="n"/>
      <c r="P637" s="93" t="n"/>
      <c r="Q637" s="93" t="n"/>
      <c r="R637" s="93" t="n"/>
      <c r="S637" s="93" t="n"/>
      <c r="T637" s="93" t="n"/>
    </row>
    <row r="638" ht="12.75" customHeight="1" s="111">
      <c r="A638" s="93" t="n"/>
      <c r="B638" s="93" t="n"/>
      <c r="C638" s="93" t="n"/>
      <c r="D638" s="93" t="n"/>
      <c r="E638" s="93" t="n"/>
      <c r="F638" s="93" t="n"/>
      <c r="G638" s="93" t="n"/>
      <c r="H638" s="93" t="n"/>
      <c r="I638" s="93" t="n"/>
      <c r="J638" s="93" t="n"/>
      <c r="K638" s="93" t="n"/>
      <c r="L638" s="93" t="n"/>
      <c r="M638" s="93" t="n"/>
      <c r="N638" s="93" t="n"/>
      <c r="O638" s="93" t="n"/>
      <c r="P638" s="93" t="n"/>
      <c r="Q638" s="93" t="n"/>
      <c r="R638" s="93" t="n"/>
      <c r="S638" s="93" t="n"/>
      <c r="T638" s="93" t="n"/>
    </row>
    <row r="639" ht="12.75" customHeight="1" s="111">
      <c r="A639" s="93" t="n"/>
      <c r="B639" s="93" t="n"/>
      <c r="C639" s="93" t="n"/>
      <c r="D639" s="93" t="n"/>
      <c r="E639" s="93" t="n"/>
      <c r="F639" s="93" t="n"/>
      <c r="G639" s="93" t="n"/>
      <c r="H639" s="93" t="n"/>
      <c r="I639" s="93" t="n"/>
      <c r="J639" s="93" t="n"/>
      <c r="K639" s="93" t="n"/>
      <c r="L639" s="93" t="n"/>
      <c r="M639" s="93" t="n"/>
      <c r="N639" s="93" t="n"/>
      <c r="O639" s="93" t="n"/>
      <c r="P639" s="93" t="n"/>
      <c r="Q639" s="93" t="n"/>
      <c r="R639" s="93" t="n"/>
      <c r="S639" s="93" t="n"/>
      <c r="T639" s="93" t="n"/>
    </row>
    <row r="640" ht="12.75" customHeight="1" s="111">
      <c r="A640" s="93" t="n"/>
      <c r="B640" s="93" t="n"/>
      <c r="C640" s="93" t="n"/>
      <c r="D640" s="93" t="n"/>
      <c r="E640" s="93" t="n"/>
      <c r="F640" s="93" t="n"/>
      <c r="G640" s="93" t="n"/>
      <c r="H640" s="93" t="n"/>
      <c r="I640" s="93" t="n"/>
      <c r="J640" s="93" t="n"/>
      <c r="K640" s="93" t="n"/>
      <c r="L640" s="93" t="n"/>
      <c r="M640" s="93" t="n"/>
      <c r="N640" s="93" t="n"/>
      <c r="O640" s="93" t="n"/>
      <c r="P640" s="93" t="n"/>
      <c r="Q640" s="93" t="n"/>
      <c r="R640" s="93" t="n"/>
      <c r="S640" s="93" t="n"/>
      <c r="T640" s="93" t="n"/>
    </row>
    <row r="641" ht="12.75" customHeight="1" s="111">
      <c r="A641" s="93" t="n"/>
      <c r="B641" s="93" t="n"/>
      <c r="C641" s="93" t="n"/>
      <c r="D641" s="93" t="n"/>
      <c r="E641" s="93" t="n"/>
      <c r="F641" s="93" t="n"/>
      <c r="G641" s="93" t="n"/>
      <c r="H641" s="93" t="n"/>
      <c r="I641" s="93" t="n"/>
      <c r="J641" s="93" t="n"/>
      <c r="K641" s="93" t="n"/>
      <c r="L641" s="93" t="n"/>
      <c r="M641" s="93" t="n"/>
      <c r="N641" s="93" t="n"/>
      <c r="O641" s="93" t="n"/>
      <c r="P641" s="93" t="n"/>
      <c r="Q641" s="93" t="n"/>
      <c r="R641" s="93" t="n"/>
      <c r="S641" s="93" t="n"/>
      <c r="T641" s="93" t="n"/>
    </row>
    <row r="642" ht="12.75" customHeight="1" s="111">
      <c r="A642" s="93" t="n"/>
      <c r="B642" s="93" t="n"/>
      <c r="C642" s="93" t="n"/>
      <c r="D642" s="93" t="n"/>
      <c r="E642" s="93" t="n"/>
      <c r="F642" s="93" t="n"/>
      <c r="G642" s="93" t="n"/>
      <c r="H642" s="93" t="n"/>
      <c r="I642" s="93" t="n"/>
      <c r="J642" s="93" t="n"/>
      <c r="K642" s="93" t="n"/>
      <c r="L642" s="93" t="n"/>
      <c r="M642" s="93" t="n"/>
      <c r="N642" s="93" t="n"/>
      <c r="O642" s="93" t="n"/>
      <c r="P642" s="93" t="n"/>
      <c r="Q642" s="93" t="n"/>
      <c r="R642" s="93" t="n"/>
      <c r="S642" s="93" t="n"/>
      <c r="T642" s="93" t="n"/>
    </row>
    <row r="643" ht="12.75" customHeight="1" s="111">
      <c r="A643" s="93" t="n"/>
      <c r="B643" s="93" t="n"/>
      <c r="C643" s="93" t="n"/>
      <c r="D643" s="93" t="n"/>
      <c r="E643" s="93" t="n"/>
      <c r="F643" s="93" t="n"/>
      <c r="G643" s="93" t="n"/>
      <c r="H643" s="93" t="n"/>
      <c r="I643" s="93" t="n"/>
      <c r="J643" s="93" t="n"/>
      <c r="K643" s="93" t="n"/>
      <c r="L643" s="93" t="n"/>
      <c r="M643" s="93" t="n"/>
      <c r="N643" s="93" t="n"/>
      <c r="O643" s="93" t="n"/>
      <c r="P643" s="93" t="n"/>
      <c r="Q643" s="93" t="n"/>
      <c r="R643" s="93" t="n"/>
      <c r="S643" s="93" t="n"/>
      <c r="T643" s="93" t="n"/>
    </row>
    <row r="644" ht="12.75" customHeight="1" s="111">
      <c r="A644" s="93" t="n"/>
      <c r="B644" s="93" t="n"/>
      <c r="C644" s="93" t="n"/>
      <c r="D644" s="93" t="n"/>
      <c r="E644" s="93" t="n"/>
      <c r="F644" s="93" t="n"/>
      <c r="G644" s="93" t="n"/>
      <c r="H644" s="93" t="n"/>
      <c r="I644" s="93" t="n"/>
      <c r="J644" s="93" t="n"/>
      <c r="K644" s="93" t="n"/>
      <c r="L644" s="93" t="n"/>
      <c r="M644" s="93" t="n"/>
      <c r="N644" s="93" t="n"/>
      <c r="O644" s="93" t="n"/>
      <c r="P644" s="93" t="n"/>
      <c r="Q644" s="93" t="n"/>
      <c r="R644" s="93" t="n"/>
      <c r="S644" s="93" t="n"/>
      <c r="T644" s="93" t="n"/>
    </row>
    <row r="645" ht="12.75" customHeight="1" s="111">
      <c r="A645" s="93" t="n"/>
      <c r="B645" s="93" t="n"/>
      <c r="C645" s="93" t="n"/>
      <c r="D645" s="93" t="n"/>
      <c r="E645" s="93" t="n"/>
      <c r="F645" s="93" t="n"/>
      <c r="G645" s="93" t="n"/>
      <c r="H645" s="93" t="n"/>
      <c r="I645" s="93" t="n"/>
      <c r="J645" s="93" t="n"/>
      <c r="K645" s="93" t="n"/>
      <c r="L645" s="93" t="n"/>
      <c r="M645" s="93" t="n"/>
      <c r="N645" s="93" t="n"/>
      <c r="O645" s="93" t="n"/>
      <c r="P645" s="93" t="n"/>
      <c r="Q645" s="93" t="n"/>
      <c r="R645" s="93" t="n"/>
      <c r="S645" s="93" t="n"/>
      <c r="T645" s="93" t="n"/>
    </row>
    <row r="646" ht="12.75" customHeight="1" s="111">
      <c r="A646" s="93" t="n"/>
      <c r="B646" s="93" t="n"/>
      <c r="C646" s="93" t="n"/>
      <c r="D646" s="93" t="n"/>
      <c r="E646" s="93" t="n"/>
      <c r="F646" s="93" t="n"/>
      <c r="G646" s="93" t="n"/>
      <c r="H646" s="93" t="n"/>
      <c r="I646" s="93" t="n"/>
      <c r="J646" s="93" t="n"/>
      <c r="K646" s="93" t="n"/>
      <c r="L646" s="93" t="n"/>
      <c r="M646" s="93" t="n"/>
      <c r="N646" s="93" t="n"/>
      <c r="O646" s="93" t="n"/>
      <c r="P646" s="93" t="n"/>
      <c r="Q646" s="93" t="n"/>
      <c r="R646" s="93" t="n"/>
      <c r="S646" s="93" t="n"/>
      <c r="T646" s="93" t="n"/>
    </row>
    <row r="647" ht="12.75" customHeight="1" s="111">
      <c r="A647" s="93" t="n"/>
      <c r="B647" s="93" t="n"/>
      <c r="C647" s="93" t="n"/>
      <c r="D647" s="93" t="n"/>
      <c r="E647" s="93" t="n"/>
      <c r="F647" s="93" t="n"/>
      <c r="G647" s="93" t="n"/>
      <c r="H647" s="93" t="n"/>
      <c r="I647" s="93" t="n"/>
      <c r="J647" s="93" t="n"/>
      <c r="K647" s="93" t="n"/>
      <c r="L647" s="93" t="n"/>
      <c r="M647" s="93" t="n"/>
      <c r="N647" s="93" t="n"/>
      <c r="O647" s="93" t="n"/>
      <c r="P647" s="93" t="n"/>
      <c r="Q647" s="93" t="n"/>
      <c r="R647" s="93" t="n"/>
      <c r="S647" s="93" t="n"/>
      <c r="T647" s="93" t="n"/>
    </row>
    <row r="648" ht="12.75" customHeight="1" s="111">
      <c r="A648" s="93" t="n"/>
      <c r="B648" s="93" t="n"/>
      <c r="C648" s="93" t="n"/>
      <c r="D648" s="93" t="n"/>
      <c r="E648" s="93" t="n"/>
      <c r="F648" s="93" t="n"/>
      <c r="G648" s="93" t="n"/>
      <c r="H648" s="93" t="n"/>
      <c r="I648" s="93" t="n"/>
      <c r="J648" s="93" t="n"/>
      <c r="K648" s="93" t="n"/>
      <c r="L648" s="93" t="n"/>
      <c r="M648" s="93" t="n"/>
      <c r="N648" s="93" t="n"/>
      <c r="O648" s="93" t="n"/>
      <c r="P648" s="93" t="n"/>
      <c r="Q648" s="93" t="n"/>
      <c r="R648" s="93" t="n"/>
      <c r="S648" s="93" t="n"/>
      <c r="T648" s="93" t="n"/>
    </row>
    <row r="649" ht="12.75" customHeight="1" s="111">
      <c r="A649" s="93" t="n"/>
      <c r="B649" s="93" t="n"/>
      <c r="C649" s="93" t="n"/>
      <c r="D649" s="93" t="n"/>
      <c r="E649" s="93" t="n"/>
      <c r="F649" s="93" t="n"/>
      <c r="G649" s="93" t="n"/>
      <c r="H649" s="93" t="n"/>
      <c r="I649" s="93" t="n"/>
      <c r="J649" s="93" t="n"/>
      <c r="K649" s="93" t="n"/>
      <c r="L649" s="93" t="n"/>
      <c r="M649" s="93" t="n"/>
      <c r="N649" s="93" t="n"/>
      <c r="O649" s="93" t="n"/>
      <c r="P649" s="93" t="n"/>
      <c r="Q649" s="93" t="n"/>
      <c r="R649" s="93" t="n"/>
      <c r="S649" s="93" t="n"/>
      <c r="T649" s="93" t="n"/>
    </row>
    <row r="650" ht="12.75" customHeight="1" s="111">
      <c r="A650" s="93" t="n"/>
      <c r="B650" s="93" t="n"/>
      <c r="C650" s="93" t="n"/>
      <c r="D650" s="93" t="n"/>
      <c r="E650" s="93" t="n"/>
      <c r="F650" s="93" t="n"/>
      <c r="G650" s="93" t="n"/>
      <c r="H650" s="93" t="n"/>
      <c r="I650" s="93" t="n"/>
      <c r="J650" s="93" t="n"/>
      <c r="K650" s="93" t="n"/>
      <c r="L650" s="93" t="n"/>
      <c r="M650" s="93" t="n"/>
      <c r="N650" s="93" t="n"/>
      <c r="O650" s="93" t="n"/>
      <c r="P650" s="93" t="n"/>
      <c r="Q650" s="93" t="n"/>
      <c r="R650" s="93" t="n"/>
      <c r="S650" s="93" t="n"/>
      <c r="T650" s="93" t="n"/>
    </row>
    <row r="651" ht="12.75" customHeight="1" s="111">
      <c r="A651" s="93" t="n"/>
      <c r="B651" s="93" t="n"/>
      <c r="C651" s="93" t="n"/>
      <c r="D651" s="93" t="n"/>
      <c r="E651" s="93" t="n"/>
      <c r="F651" s="93" t="n"/>
      <c r="G651" s="93" t="n"/>
      <c r="H651" s="93" t="n"/>
      <c r="I651" s="93" t="n"/>
      <c r="J651" s="93" t="n"/>
      <c r="K651" s="93" t="n"/>
      <c r="L651" s="93" t="n"/>
      <c r="M651" s="93" t="n"/>
      <c r="N651" s="93" t="n"/>
      <c r="O651" s="93" t="n"/>
      <c r="P651" s="93" t="n"/>
      <c r="Q651" s="93" t="n"/>
      <c r="R651" s="93" t="n"/>
      <c r="S651" s="93" t="n"/>
      <c r="T651" s="93" t="n"/>
    </row>
    <row r="652" ht="12.75" customHeight="1" s="111">
      <c r="A652" s="93" t="n"/>
      <c r="B652" s="93" t="n"/>
      <c r="C652" s="93" t="n"/>
      <c r="D652" s="93" t="n"/>
      <c r="E652" s="93" t="n"/>
      <c r="F652" s="93" t="n"/>
      <c r="G652" s="93" t="n"/>
      <c r="H652" s="93" t="n"/>
      <c r="I652" s="93" t="n"/>
      <c r="J652" s="93" t="n"/>
      <c r="K652" s="93" t="n"/>
      <c r="L652" s="93" t="n"/>
      <c r="M652" s="93" t="n"/>
      <c r="N652" s="93" t="n"/>
      <c r="O652" s="93" t="n"/>
      <c r="P652" s="93" t="n"/>
      <c r="Q652" s="93" t="n"/>
      <c r="R652" s="93" t="n"/>
      <c r="S652" s="93" t="n"/>
      <c r="T652" s="93" t="n"/>
    </row>
    <row r="653" ht="12.75" customHeight="1" s="111">
      <c r="A653" s="93" t="n"/>
      <c r="B653" s="93" t="n"/>
      <c r="C653" s="93" t="n"/>
      <c r="D653" s="93" t="n"/>
      <c r="E653" s="93" t="n"/>
      <c r="F653" s="93" t="n"/>
      <c r="G653" s="93" t="n"/>
      <c r="H653" s="93" t="n"/>
      <c r="I653" s="93" t="n"/>
      <c r="J653" s="93" t="n"/>
      <c r="K653" s="93" t="n"/>
      <c r="L653" s="93" t="n"/>
      <c r="M653" s="93" t="n"/>
      <c r="N653" s="93" t="n"/>
      <c r="O653" s="93" t="n"/>
      <c r="P653" s="93" t="n"/>
      <c r="Q653" s="93" t="n"/>
      <c r="R653" s="93" t="n"/>
      <c r="S653" s="93" t="n"/>
      <c r="T653" s="93" t="n"/>
    </row>
    <row r="654" ht="12.75" customHeight="1" s="111">
      <c r="A654" s="93" t="n"/>
      <c r="B654" s="93" t="n"/>
      <c r="C654" s="93" t="n"/>
      <c r="D654" s="93" t="n"/>
      <c r="E654" s="93" t="n"/>
      <c r="F654" s="93" t="n"/>
      <c r="G654" s="93" t="n"/>
      <c r="H654" s="93" t="n"/>
      <c r="I654" s="93" t="n"/>
      <c r="J654" s="93" t="n"/>
      <c r="K654" s="93" t="n"/>
      <c r="L654" s="93" t="n"/>
      <c r="M654" s="93" t="n"/>
      <c r="N654" s="93" t="n"/>
      <c r="O654" s="93" t="n"/>
      <c r="P654" s="93" t="n"/>
      <c r="Q654" s="93" t="n"/>
      <c r="R654" s="93" t="n"/>
      <c r="S654" s="93" t="n"/>
      <c r="T654" s="93" t="n"/>
    </row>
    <row r="655" ht="12.75" customHeight="1" s="111">
      <c r="A655" s="93" t="n"/>
      <c r="B655" s="93" t="n"/>
      <c r="C655" s="93" t="n"/>
      <c r="D655" s="93" t="n"/>
      <c r="E655" s="93" t="n"/>
      <c r="F655" s="93" t="n"/>
      <c r="G655" s="93" t="n"/>
      <c r="H655" s="93" t="n"/>
      <c r="I655" s="93" t="n"/>
      <c r="J655" s="93" t="n"/>
      <c r="K655" s="93" t="n"/>
      <c r="L655" s="93" t="n"/>
      <c r="M655" s="93" t="n"/>
      <c r="N655" s="93" t="n"/>
      <c r="O655" s="93" t="n"/>
      <c r="P655" s="93" t="n"/>
      <c r="Q655" s="93" t="n"/>
      <c r="R655" s="93" t="n"/>
      <c r="S655" s="93" t="n"/>
      <c r="T655" s="93" t="n"/>
    </row>
    <row r="656" ht="12.75" customHeight="1" s="111">
      <c r="A656" s="93" t="n"/>
      <c r="B656" s="93" t="n"/>
      <c r="C656" s="93" t="n"/>
      <c r="D656" s="93" t="n"/>
      <c r="E656" s="93" t="n"/>
      <c r="F656" s="93" t="n"/>
      <c r="G656" s="93" t="n"/>
      <c r="H656" s="93" t="n"/>
      <c r="I656" s="93" t="n"/>
      <c r="J656" s="93" t="n"/>
      <c r="K656" s="93" t="n"/>
      <c r="L656" s="93" t="n"/>
      <c r="M656" s="93" t="n"/>
      <c r="N656" s="93" t="n"/>
      <c r="O656" s="93" t="n"/>
      <c r="P656" s="93" t="n"/>
      <c r="Q656" s="93" t="n"/>
      <c r="R656" s="93" t="n"/>
      <c r="S656" s="93" t="n"/>
      <c r="T656" s="93" t="n"/>
    </row>
    <row r="657" ht="12.75" customHeight="1" s="111">
      <c r="A657" s="93" t="n"/>
      <c r="B657" s="93" t="n"/>
      <c r="C657" s="93" t="n"/>
      <c r="D657" s="93" t="n"/>
      <c r="E657" s="93" t="n"/>
      <c r="F657" s="93" t="n"/>
      <c r="G657" s="93" t="n"/>
      <c r="H657" s="93" t="n"/>
      <c r="I657" s="93" t="n"/>
      <c r="J657" s="93" t="n"/>
      <c r="K657" s="93" t="n"/>
      <c r="L657" s="93" t="n"/>
      <c r="M657" s="93" t="n"/>
      <c r="N657" s="93" t="n"/>
      <c r="O657" s="93" t="n"/>
      <c r="P657" s="93" t="n"/>
      <c r="Q657" s="93" t="n"/>
      <c r="R657" s="93" t="n"/>
      <c r="S657" s="93" t="n"/>
      <c r="T657" s="93" t="n"/>
    </row>
    <row r="658" ht="12.75" customHeight="1" s="111">
      <c r="A658" s="93" t="n"/>
      <c r="B658" s="93" t="n"/>
      <c r="C658" s="93" t="n"/>
      <c r="D658" s="93" t="n"/>
      <c r="E658" s="93" t="n"/>
      <c r="F658" s="93" t="n"/>
      <c r="G658" s="93" t="n"/>
      <c r="H658" s="93" t="n"/>
      <c r="I658" s="93" t="n"/>
      <c r="J658" s="93" t="n"/>
      <c r="K658" s="93" t="n"/>
      <c r="L658" s="93" t="n"/>
      <c r="M658" s="93" t="n"/>
      <c r="N658" s="93" t="n"/>
      <c r="O658" s="93" t="n"/>
      <c r="P658" s="93" t="n"/>
      <c r="Q658" s="93" t="n"/>
      <c r="R658" s="93" t="n"/>
      <c r="S658" s="93" t="n"/>
      <c r="T658" s="93" t="n"/>
    </row>
    <row r="659" ht="12.75" customHeight="1" s="111">
      <c r="A659" s="93" t="n"/>
      <c r="B659" s="93" t="n"/>
      <c r="C659" s="93" t="n"/>
      <c r="D659" s="93" t="n"/>
      <c r="E659" s="93" t="n"/>
      <c r="F659" s="93" t="n"/>
      <c r="G659" s="93" t="n"/>
      <c r="H659" s="93" t="n"/>
      <c r="I659" s="93" t="n"/>
      <c r="J659" s="93" t="n"/>
      <c r="K659" s="93" t="n"/>
      <c r="L659" s="93" t="n"/>
      <c r="M659" s="93" t="n"/>
      <c r="N659" s="93" t="n"/>
      <c r="O659" s="93" t="n"/>
      <c r="P659" s="93" t="n"/>
      <c r="Q659" s="93" t="n"/>
      <c r="R659" s="93" t="n"/>
      <c r="S659" s="93" t="n"/>
      <c r="T659" s="93" t="n"/>
    </row>
    <row r="660" ht="12.75" customHeight="1" s="111">
      <c r="A660" s="93" t="n"/>
      <c r="B660" s="93" t="n"/>
      <c r="C660" s="93" t="n"/>
      <c r="D660" s="93" t="n"/>
      <c r="E660" s="93" t="n"/>
      <c r="F660" s="93" t="n"/>
      <c r="G660" s="93" t="n"/>
      <c r="H660" s="93" t="n"/>
      <c r="I660" s="93" t="n"/>
      <c r="J660" s="93" t="n"/>
      <c r="K660" s="93" t="n"/>
      <c r="L660" s="93" t="n"/>
      <c r="M660" s="93" t="n"/>
      <c r="N660" s="93" t="n"/>
      <c r="O660" s="93" t="n"/>
      <c r="P660" s="93" t="n"/>
      <c r="Q660" s="93" t="n"/>
      <c r="R660" s="93" t="n"/>
      <c r="S660" s="93" t="n"/>
      <c r="T660" s="93" t="n"/>
    </row>
    <row r="661" ht="12.75" customHeight="1" s="111">
      <c r="A661" s="93" t="n"/>
      <c r="B661" s="93" t="n"/>
      <c r="C661" s="93" t="n"/>
      <c r="D661" s="93" t="n"/>
      <c r="E661" s="93" t="n"/>
      <c r="F661" s="93" t="n"/>
      <c r="G661" s="93" t="n"/>
      <c r="H661" s="93" t="n"/>
      <c r="I661" s="93" t="n"/>
      <c r="J661" s="93" t="n"/>
      <c r="K661" s="93" t="n"/>
      <c r="L661" s="93" t="n"/>
      <c r="M661" s="93" t="n"/>
      <c r="N661" s="93" t="n"/>
      <c r="O661" s="93" t="n"/>
      <c r="P661" s="93" t="n"/>
      <c r="Q661" s="93" t="n"/>
      <c r="R661" s="93" t="n"/>
      <c r="S661" s="93" t="n"/>
      <c r="T661" s="93" t="n"/>
    </row>
    <row r="662" ht="12.75" customHeight="1" s="111">
      <c r="A662" s="93" t="n"/>
      <c r="B662" s="93" t="n"/>
      <c r="C662" s="93" t="n"/>
      <c r="D662" s="93" t="n"/>
      <c r="E662" s="93" t="n"/>
      <c r="F662" s="93" t="n"/>
      <c r="G662" s="93" t="n"/>
      <c r="H662" s="93" t="n"/>
      <c r="I662" s="93" t="n"/>
      <c r="J662" s="93" t="n"/>
      <c r="K662" s="93" t="n"/>
      <c r="L662" s="93" t="n"/>
      <c r="M662" s="93" t="n"/>
      <c r="N662" s="93" t="n"/>
      <c r="O662" s="93" t="n"/>
      <c r="P662" s="93" t="n"/>
      <c r="Q662" s="93" t="n"/>
      <c r="R662" s="93" t="n"/>
      <c r="S662" s="93" t="n"/>
      <c r="T662" s="93" t="n"/>
    </row>
    <row r="663" ht="12.75" customHeight="1" s="111">
      <c r="A663" s="93" t="n"/>
      <c r="B663" s="93" t="n"/>
      <c r="C663" s="93" t="n"/>
      <c r="D663" s="93" t="n"/>
      <c r="E663" s="93" t="n"/>
      <c r="F663" s="93" t="n"/>
      <c r="G663" s="93" t="n"/>
      <c r="H663" s="93" t="n"/>
      <c r="I663" s="93" t="n"/>
      <c r="J663" s="93" t="n"/>
      <c r="K663" s="93" t="n"/>
      <c r="L663" s="93" t="n"/>
      <c r="M663" s="93" t="n"/>
      <c r="N663" s="93" t="n"/>
      <c r="O663" s="93" t="n"/>
      <c r="P663" s="93" t="n"/>
      <c r="Q663" s="93" t="n"/>
      <c r="R663" s="93" t="n"/>
      <c r="S663" s="93" t="n"/>
      <c r="T663" s="93" t="n"/>
    </row>
    <row r="664" ht="12.75" customHeight="1" s="111">
      <c r="A664" s="93" t="n"/>
      <c r="B664" s="93" t="n"/>
      <c r="C664" s="93" t="n"/>
      <c r="D664" s="93" t="n"/>
      <c r="E664" s="93" t="n"/>
      <c r="F664" s="93" t="n"/>
      <c r="G664" s="93" t="n"/>
      <c r="H664" s="93" t="n"/>
      <c r="I664" s="93" t="n"/>
      <c r="J664" s="93" t="n"/>
      <c r="K664" s="93" t="n"/>
      <c r="L664" s="93" t="n"/>
      <c r="M664" s="93" t="n"/>
      <c r="N664" s="93" t="n"/>
      <c r="O664" s="93" t="n"/>
      <c r="P664" s="93" t="n"/>
      <c r="Q664" s="93" t="n"/>
      <c r="R664" s="93" t="n"/>
      <c r="S664" s="93" t="n"/>
      <c r="T664" s="93" t="n"/>
    </row>
    <row r="665" ht="12.75" customHeight="1" s="111">
      <c r="A665" s="93" t="n"/>
      <c r="B665" s="93" t="n"/>
      <c r="C665" s="93" t="n"/>
      <c r="D665" s="93" t="n"/>
      <c r="E665" s="93" t="n"/>
      <c r="F665" s="93" t="n"/>
      <c r="G665" s="93" t="n"/>
      <c r="H665" s="93" t="n"/>
      <c r="I665" s="93" t="n"/>
      <c r="J665" s="93" t="n"/>
      <c r="K665" s="93" t="n"/>
      <c r="L665" s="93" t="n"/>
      <c r="M665" s="93" t="n"/>
      <c r="N665" s="93" t="n"/>
      <c r="O665" s="93" t="n"/>
      <c r="P665" s="93" t="n"/>
      <c r="Q665" s="93" t="n"/>
      <c r="R665" s="93" t="n"/>
      <c r="S665" s="93" t="n"/>
      <c r="T665" s="93" t="n"/>
    </row>
    <row r="666" ht="12.75" customHeight="1" s="111">
      <c r="A666" s="93" t="n"/>
      <c r="B666" s="93" t="n"/>
      <c r="C666" s="93" t="n"/>
      <c r="D666" s="93" t="n"/>
      <c r="E666" s="93" t="n"/>
      <c r="F666" s="93" t="n"/>
      <c r="G666" s="93" t="n"/>
      <c r="H666" s="93" t="n"/>
      <c r="I666" s="93" t="n"/>
      <c r="J666" s="93" t="n"/>
      <c r="K666" s="93" t="n"/>
      <c r="L666" s="93" t="n"/>
      <c r="M666" s="93" t="n"/>
      <c r="N666" s="93" t="n"/>
      <c r="O666" s="93" t="n"/>
      <c r="P666" s="93" t="n"/>
      <c r="Q666" s="93" t="n"/>
      <c r="R666" s="93" t="n"/>
      <c r="S666" s="93" t="n"/>
      <c r="T666" s="93" t="n"/>
    </row>
    <row r="667" ht="12.75" customHeight="1" s="111">
      <c r="A667" s="93" t="n"/>
      <c r="B667" s="93" t="n"/>
      <c r="C667" s="93" t="n"/>
      <c r="D667" s="93" t="n"/>
      <c r="E667" s="93" t="n"/>
      <c r="F667" s="93" t="n"/>
      <c r="G667" s="93" t="n"/>
      <c r="H667" s="93" t="n"/>
      <c r="I667" s="93" t="n"/>
      <c r="J667" s="93" t="n"/>
      <c r="K667" s="93" t="n"/>
      <c r="L667" s="93" t="n"/>
      <c r="M667" s="93" t="n"/>
      <c r="N667" s="93" t="n"/>
      <c r="O667" s="93" t="n"/>
      <c r="P667" s="93" t="n"/>
      <c r="Q667" s="93" t="n"/>
      <c r="R667" s="93" t="n"/>
      <c r="S667" s="93" t="n"/>
      <c r="T667" s="93" t="n"/>
    </row>
    <row r="668" ht="12.75" customHeight="1" s="111">
      <c r="A668" s="93" t="n"/>
      <c r="B668" s="93" t="n"/>
      <c r="C668" s="93" t="n"/>
      <c r="D668" s="93" t="n"/>
      <c r="E668" s="93" t="n"/>
      <c r="F668" s="93" t="n"/>
      <c r="G668" s="93" t="n"/>
      <c r="H668" s="93" t="n"/>
      <c r="I668" s="93" t="n"/>
      <c r="J668" s="93" t="n"/>
      <c r="K668" s="93" t="n"/>
      <c r="L668" s="93" t="n"/>
      <c r="M668" s="93" t="n"/>
      <c r="N668" s="93" t="n"/>
      <c r="O668" s="93" t="n"/>
      <c r="P668" s="93" t="n"/>
      <c r="Q668" s="93" t="n"/>
      <c r="R668" s="93" t="n"/>
      <c r="S668" s="93" t="n"/>
      <c r="T668" s="93" t="n"/>
    </row>
    <row r="669" ht="12.75" customHeight="1" s="111">
      <c r="A669" s="93" t="n"/>
      <c r="B669" s="93" t="n"/>
      <c r="C669" s="93" t="n"/>
      <c r="D669" s="93" t="n"/>
      <c r="E669" s="93" t="n"/>
      <c r="F669" s="93" t="n"/>
      <c r="G669" s="93" t="n"/>
      <c r="H669" s="93" t="n"/>
      <c r="I669" s="93" t="n"/>
      <c r="J669" s="93" t="n"/>
      <c r="K669" s="93" t="n"/>
      <c r="L669" s="93" t="n"/>
      <c r="M669" s="93" t="n"/>
      <c r="N669" s="93" t="n"/>
      <c r="O669" s="93" t="n"/>
      <c r="P669" s="93" t="n"/>
      <c r="Q669" s="93" t="n"/>
      <c r="R669" s="93" t="n"/>
      <c r="S669" s="93" t="n"/>
      <c r="T669" s="93" t="n"/>
    </row>
    <row r="670" ht="12.75" customHeight="1" s="111">
      <c r="A670" s="93" t="n"/>
      <c r="B670" s="93" t="n"/>
      <c r="C670" s="93" t="n"/>
      <c r="D670" s="93" t="n"/>
      <c r="E670" s="93" t="n"/>
      <c r="F670" s="93" t="n"/>
      <c r="G670" s="93" t="n"/>
      <c r="H670" s="93" t="n"/>
      <c r="I670" s="93" t="n"/>
      <c r="J670" s="93" t="n"/>
      <c r="K670" s="93" t="n"/>
      <c r="L670" s="93" t="n"/>
      <c r="M670" s="93" t="n"/>
      <c r="N670" s="93" t="n"/>
      <c r="O670" s="93" t="n"/>
      <c r="P670" s="93" t="n"/>
      <c r="Q670" s="93" t="n"/>
      <c r="R670" s="93" t="n"/>
      <c r="S670" s="93" t="n"/>
      <c r="T670" s="93" t="n"/>
    </row>
    <row r="671" ht="12.75" customHeight="1" s="111">
      <c r="A671" s="93" t="n"/>
      <c r="B671" s="93" t="n"/>
      <c r="C671" s="93" t="n"/>
      <c r="D671" s="93" t="n"/>
      <c r="E671" s="93" t="n"/>
      <c r="F671" s="93" t="n"/>
      <c r="G671" s="93" t="n"/>
      <c r="H671" s="93" t="n"/>
      <c r="I671" s="93" t="n"/>
      <c r="J671" s="93" t="n"/>
      <c r="K671" s="93" t="n"/>
      <c r="L671" s="93" t="n"/>
      <c r="M671" s="93" t="n"/>
      <c r="N671" s="93" t="n"/>
      <c r="O671" s="93" t="n"/>
      <c r="P671" s="93" t="n"/>
      <c r="Q671" s="93" t="n"/>
      <c r="R671" s="93" t="n"/>
      <c r="S671" s="93" t="n"/>
      <c r="T671" s="93" t="n"/>
    </row>
    <row r="672" ht="12.75" customHeight="1" s="111">
      <c r="A672" s="93" t="n"/>
      <c r="B672" s="93" t="n"/>
      <c r="C672" s="93" t="n"/>
      <c r="D672" s="93" t="n"/>
      <c r="E672" s="93" t="n"/>
      <c r="F672" s="93" t="n"/>
      <c r="G672" s="93" t="n"/>
      <c r="H672" s="93" t="n"/>
      <c r="I672" s="93" t="n"/>
      <c r="J672" s="93" t="n"/>
      <c r="K672" s="93" t="n"/>
      <c r="L672" s="93" t="n"/>
      <c r="M672" s="93" t="n"/>
      <c r="N672" s="93" t="n"/>
      <c r="O672" s="93" t="n"/>
      <c r="P672" s="93" t="n"/>
      <c r="Q672" s="93" t="n"/>
      <c r="R672" s="93" t="n"/>
      <c r="S672" s="93" t="n"/>
      <c r="T672" s="93" t="n"/>
    </row>
    <row r="673" ht="12.75" customHeight="1" s="111">
      <c r="A673" s="93" t="n"/>
      <c r="B673" s="93" t="n"/>
      <c r="C673" s="93" t="n"/>
      <c r="D673" s="93" t="n"/>
      <c r="E673" s="93" t="n"/>
      <c r="F673" s="93" t="n"/>
      <c r="G673" s="93" t="n"/>
      <c r="H673" s="93" t="n"/>
      <c r="I673" s="93" t="n"/>
      <c r="J673" s="93" t="n"/>
      <c r="K673" s="93" t="n"/>
      <c r="L673" s="93" t="n"/>
      <c r="M673" s="93" t="n"/>
      <c r="N673" s="93" t="n"/>
      <c r="O673" s="93" t="n"/>
      <c r="P673" s="93" t="n"/>
      <c r="Q673" s="93" t="n"/>
      <c r="R673" s="93" t="n"/>
      <c r="S673" s="93" t="n"/>
      <c r="T673" s="93" t="n"/>
    </row>
    <row r="674" ht="12.75" customHeight="1" s="111">
      <c r="A674" s="93" t="n"/>
      <c r="B674" s="93" t="n"/>
      <c r="C674" s="93" t="n"/>
      <c r="D674" s="93" t="n"/>
      <c r="E674" s="93" t="n"/>
      <c r="F674" s="93" t="n"/>
      <c r="G674" s="93" t="n"/>
      <c r="H674" s="93" t="n"/>
      <c r="I674" s="93" t="n"/>
      <c r="J674" s="93" t="n"/>
      <c r="K674" s="93" t="n"/>
      <c r="L674" s="93" t="n"/>
      <c r="M674" s="93" t="n"/>
      <c r="N674" s="93" t="n"/>
      <c r="O674" s="93" t="n"/>
      <c r="P674" s="93" t="n"/>
      <c r="Q674" s="93" t="n"/>
      <c r="R674" s="93" t="n"/>
      <c r="S674" s="93" t="n"/>
      <c r="T674" s="93" t="n"/>
    </row>
    <row r="675" ht="12.75" customHeight="1" s="111">
      <c r="A675" s="93" t="n"/>
      <c r="B675" s="93" t="n"/>
      <c r="C675" s="93" t="n"/>
      <c r="D675" s="93" t="n"/>
      <c r="E675" s="93" t="n"/>
      <c r="F675" s="93" t="n"/>
      <c r="G675" s="93" t="n"/>
      <c r="H675" s="93" t="n"/>
      <c r="I675" s="93" t="n"/>
      <c r="J675" s="93" t="n"/>
      <c r="K675" s="93" t="n"/>
      <c r="L675" s="93" t="n"/>
      <c r="M675" s="93" t="n"/>
      <c r="N675" s="93" t="n"/>
      <c r="O675" s="93" t="n"/>
      <c r="P675" s="93" t="n"/>
      <c r="Q675" s="93" t="n"/>
      <c r="R675" s="93" t="n"/>
      <c r="S675" s="93" t="n"/>
      <c r="T675" s="93" t="n"/>
    </row>
    <row r="676" ht="12.75" customHeight="1" s="111">
      <c r="A676" s="93" t="n"/>
      <c r="B676" s="93" t="n"/>
      <c r="C676" s="93" t="n"/>
      <c r="D676" s="93" t="n"/>
      <c r="E676" s="93" t="n"/>
      <c r="F676" s="93" t="n"/>
      <c r="G676" s="93" t="n"/>
      <c r="H676" s="93" t="n"/>
      <c r="I676" s="93" t="n"/>
      <c r="J676" s="93" t="n"/>
      <c r="K676" s="93" t="n"/>
      <c r="L676" s="93" t="n"/>
      <c r="M676" s="93" t="n"/>
      <c r="N676" s="93" t="n"/>
      <c r="O676" s="93" t="n"/>
      <c r="P676" s="93" t="n"/>
      <c r="Q676" s="93" t="n"/>
      <c r="R676" s="93" t="n"/>
      <c r="S676" s="93" t="n"/>
      <c r="T676" s="93" t="n"/>
    </row>
    <row r="677" ht="12.75" customHeight="1" s="111">
      <c r="A677" s="93" t="n"/>
      <c r="B677" s="93" t="n"/>
      <c r="C677" s="93" t="n"/>
      <c r="D677" s="93" t="n"/>
      <c r="E677" s="93" t="n"/>
      <c r="F677" s="93" t="n"/>
      <c r="G677" s="93" t="n"/>
      <c r="H677" s="93" t="n"/>
      <c r="I677" s="93" t="n"/>
      <c r="J677" s="93" t="n"/>
      <c r="K677" s="93" t="n"/>
      <c r="L677" s="93" t="n"/>
      <c r="M677" s="93" t="n"/>
      <c r="N677" s="93" t="n"/>
      <c r="O677" s="93" t="n"/>
      <c r="P677" s="93" t="n"/>
      <c r="Q677" s="93" t="n"/>
      <c r="R677" s="93" t="n"/>
      <c r="S677" s="93" t="n"/>
      <c r="T677" s="93" t="n"/>
    </row>
    <row r="678" ht="12.75" customHeight="1" s="111">
      <c r="A678" s="93" t="n"/>
      <c r="B678" s="93" t="n"/>
      <c r="C678" s="93" t="n"/>
      <c r="D678" s="93" t="n"/>
      <c r="E678" s="93" t="n"/>
      <c r="F678" s="93" t="n"/>
      <c r="G678" s="93" t="n"/>
      <c r="H678" s="93" t="n"/>
      <c r="I678" s="93" t="n"/>
      <c r="J678" s="93" t="n"/>
      <c r="K678" s="93" t="n"/>
      <c r="L678" s="93" t="n"/>
      <c r="M678" s="93" t="n"/>
      <c r="N678" s="93" t="n"/>
      <c r="O678" s="93" t="n"/>
      <c r="P678" s="93" t="n"/>
      <c r="Q678" s="93" t="n"/>
      <c r="R678" s="93" t="n"/>
      <c r="S678" s="93" t="n"/>
      <c r="T678" s="93" t="n"/>
    </row>
    <row r="679" ht="12.75" customHeight="1" s="111">
      <c r="A679" s="93" t="n"/>
      <c r="B679" s="93" t="n"/>
      <c r="C679" s="93" t="n"/>
      <c r="D679" s="93" t="n"/>
      <c r="E679" s="93" t="n"/>
      <c r="F679" s="93" t="n"/>
      <c r="G679" s="93" t="n"/>
      <c r="H679" s="93" t="n"/>
      <c r="I679" s="93" t="n"/>
      <c r="J679" s="93" t="n"/>
      <c r="K679" s="93" t="n"/>
      <c r="L679" s="93" t="n"/>
      <c r="M679" s="93" t="n"/>
      <c r="N679" s="93" t="n"/>
      <c r="O679" s="93" t="n"/>
      <c r="P679" s="93" t="n"/>
      <c r="Q679" s="93" t="n"/>
      <c r="R679" s="93" t="n"/>
      <c r="S679" s="93" t="n"/>
      <c r="T679" s="93" t="n"/>
    </row>
    <row r="680" ht="12.75" customHeight="1" s="111">
      <c r="A680" s="93" t="n"/>
      <c r="B680" s="93" t="n"/>
      <c r="C680" s="93" t="n"/>
      <c r="D680" s="93" t="n"/>
      <c r="E680" s="93" t="n"/>
      <c r="F680" s="93" t="n"/>
      <c r="G680" s="93" t="n"/>
      <c r="H680" s="93" t="n"/>
      <c r="I680" s="93" t="n"/>
      <c r="J680" s="93" t="n"/>
      <c r="K680" s="93" t="n"/>
      <c r="L680" s="93" t="n"/>
      <c r="M680" s="93" t="n"/>
      <c r="N680" s="93" t="n"/>
      <c r="O680" s="93" t="n"/>
      <c r="P680" s="93" t="n"/>
      <c r="Q680" s="93" t="n"/>
      <c r="R680" s="93" t="n"/>
      <c r="S680" s="93" t="n"/>
      <c r="T680" s="93" t="n"/>
    </row>
    <row r="681" ht="12.75" customHeight="1" s="111">
      <c r="A681" s="93" t="n"/>
      <c r="B681" s="93" t="n"/>
      <c r="C681" s="93" t="n"/>
      <c r="D681" s="93" t="n"/>
      <c r="E681" s="93" t="n"/>
      <c r="F681" s="93" t="n"/>
      <c r="G681" s="93" t="n"/>
      <c r="H681" s="93" t="n"/>
      <c r="I681" s="93" t="n"/>
      <c r="J681" s="93" t="n"/>
      <c r="K681" s="93" t="n"/>
      <c r="L681" s="93" t="n"/>
      <c r="M681" s="93" t="n"/>
      <c r="N681" s="93" t="n"/>
      <c r="O681" s="93" t="n"/>
      <c r="P681" s="93" t="n"/>
      <c r="Q681" s="93" t="n"/>
      <c r="R681" s="93" t="n"/>
      <c r="S681" s="93" t="n"/>
      <c r="T681" s="93" t="n"/>
    </row>
    <row r="682" ht="12.75" customHeight="1" s="111">
      <c r="A682" s="93" t="n"/>
      <c r="B682" s="93" t="n"/>
      <c r="C682" s="93" t="n"/>
      <c r="D682" s="93" t="n"/>
      <c r="E682" s="93" t="n"/>
      <c r="F682" s="93" t="n"/>
      <c r="G682" s="93" t="n"/>
      <c r="H682" s="93" t="n"/>
      <c r="I682" s="93" t="n"/>
      <c r="J682" s="93" t="n"/>
      <c r="K682" s="93" t="n"/>
      <c r="L682" s="93" t="n"/>
      <c r="M682" s="93" t="n"/>
      <c r="N682" s="93" t="n"/>
      <c r="O682" s="93" t="n"/>
      <c r="P682" s="93" t="n"/>
      <c r="Q682" s="93" t="n"/>
      <c r="R682" s="93" t="n"/>
      <c r="S682" s="93" t="n"/>
      <c r="T682" s="93" t="n"/>
    </row>
    <row r="683" ht="12.75" customHeight="1" s="111">
      <c r="A683" s="93" t="n"/>
      <c r="B683" s="93" t="n"/>
      <c r="C683" s="93" t="n"/>
      <c r="D683" s="93" t="n"/>
      <c r="E683" s="93" t="n"/>
      <c r="F683" s="93" t="n"/>
      <c r="G683" s="93" t="n"/>
      <c r="H683" s="93" t="n"/>
      <c r="I683" s="93" t="n"/>
      <c r="J683" s="93" t="n"/>
      <c r="K683" s="93" t="n"/>
      <c r="L683" s="93" t="n"/>
      <c r="M683" s="93" t="n"/>
      <c r="N683" s="93" t="n"/>
      <c r="O683" s="93" t="n"/>
      <c r="P683" s="93" t="n"/>
      <c r="Q683" s="93" t="n"/>
      <c r="R683" s="93" t="n"/>
      <c r="S683" s="93" t="n"/>
      <c r="T683" s="93" t="n"/>
    </row>
    <row r="684" ht="12.75" customHeight="1" s="111">
      <c r="A684" s="93" t="n"/>
      <c r="B684" s="93" t="n"/>
      <c r="C684" s="93" t="n"/>
      <c r="D684" s="93" t="n"/>
      <c r="E684" s="93" t="n"/>
      <c r="F684" s="93" t="n"/>
      <c r="G684" s="93" t="n"/>
      <c r="H684" s="93" t="n"/>
      <c r="I684" s="93" t="n"/>
      <c r="J684" s="93" t="n"/>
      <c r="K684" s="93" t="n"/>
      <c r="L684" s="93" t="n"/>
      <c r="M684" s="93" t="n"/>
      <c r="N684" s="93" t="n"/>
      <c r="O684" s="93" t="n"/>
      <c r="P684" s="93" t="n"/>
      <c r="Q684" s="93" t="n"/>
      <c r="R684" s="93" t="n"/>
      <c r="S684" s="93" t="n"/>
      <c r="T684" s="93" t="n"/>
    </row>
    <row r="685" ht="12.75" customHeight="1" s="111">
      <c r="A685" s="93" t="n"/>
      <c r="B685" s="93" t="n"/>
      <c r="C685" s="93" t="n"/>
      <c r="D685" s="93" t="n"/>
      <c r="E685" s="93" t="n"/>
      <c r="F685" s="93" t="n"/>
      <c r="G685" s="93" t="n"/>
      <c r="H685" s="93" t="n"/>
      <c r="I685" s="93" t="n"/>
      <c r="J685" s="93" t="n"/>
      <c r="K685" s="93" t="n"/>
      <c r="L685" s="93" t="n"/>
      <c r="M685" s="93" t="n"/>
      <c r="N685" s="93" t="n"/>
      <c r="O685" s="93" t="n"/>
      <c r="P685" s="93" t="n"/>
      <c r="Q685" s="93" t="n"/>
      <c r="R685" s="93" t="n"/>
      <c r="S685" s="93" t="n"/>
      <c r="T685" s="93" t="n"/>
    </row>
    <row r="686" ht="12.75" customHeight="1" s="111">
      <c r="A686" s="93" t="n"/>
      <c r="B686" s="93" t="n"/>
      <c r="C686" s="93" t="n"/>
      <c r="D686" s="93" t="n"/>
      <c r="E686" s="93" t="n"/>
      <c r="F686" s="93" t="n"/>
      <c r="G686" s="93" t="n"/>
      <c r="H686" s="93" t="n"/>
      <c r="I686" s="93" t="n"/>
      <c r="J686" s="93" t="n"/>
      <c r="K686" s="93" t="n"/>
      <c r="L686" s="93" t="n"/>
      <c r="M686" s="93" t="n"/>
      <c r="N686" s="93" t="n"/>
      <c r="O686" s="93" t="n"/>
      <c r="P686" s="93" t="n"/>
      <c r="Q686" s="93" t="n"/>
      <c r="R686" s="93" t="n"/>
      <c r="S686" s="93" t="n"/>
      <c r="T686" s="93" t="n"/>
    </row>
    <row r="687" ht="12.75" customHeight="1" s="111">
      <c r="A687" s="93" t="n"/>
      <c r="B687" s="93" t="n"/>
      <c r="C687" s="93" t="n"/>
      <c r="D687" s="93" t="n"/>
      <c r="E687" s="93" t="n"/>
      <c r="F687" s="93" t="n"/>
      <c r="G687" s="93" t="n"/>
      <c r="H687" s="93" t="n"/>
      <c r="I687" s="93" t="n"/>
      <c r="J687" s="93" t="n"/>
      <c r="K687" s="93" t="n"/>
      <c r="L687" s="93" t="n"/>
      <c r="M687" s="93" t="n"/>
      <c r="N687" s="93" t="n"/>
      <c r="O687" s="93" t="n"/>
      <c r="P687" s="93" t="n"/>
      <c r="Q687" s="93" t="n"/>
      <c r="R687" s="93" t="n"/>
      <c r="S687" s="93" t="n"/>
      <c r="T687" s="93" t="n"/>
    </row>
    <row r="688" ht="12.75" customHeight="1" s="111">
      <c r="A688" s="93" t="n"/>
      <c r="B688" s="93" t="n"/>
      <c r="C688" s="93" t="n"/>
      <c r="D688" s="93" t="n"/>
      <c r="E688" s="93" t="n"/>
      <c r="F688" s="93" t="n"/>
      <c r="G688" s="93" t="n"/>
      <c r="H688" s="93" t="n"/>
      <c r="I688" s="93" t="n"/>
      <c r="J688" s="93" t="n"/>
      <c r="K688" s="93" t="n"/>
      <c r="L688" s="93" t="n"/>
      <c r="M688" s="93" t="n"/>
      <c r="N688" s="93" t="n"/>
      <c r="O688" s="93" t="n"/>
      <c r="P688" s="93" t="n"/>
      <c r="Q688" s="93" t="n"/>
      <c r="R688" s="93" t="n"/>
      <c r="S688" s="93" t="n"/>
      <c r="T688" s="93" t="n"/>
    </row>
    <row r="689" ht="12.75" customHeight="1" s="111">
      <c r="A689" s="93" t="n"/>
      <c r="B689" s="93" t="n"/>
      <c r="C689" s="93" t="n"/>
      <c r="D689" s="93" t="n"/>
      <c r="E689" s="93" t="n"/>
      <c r="F689" s="93" t="n"/>
      <c r="G689" s="93" t="n"/>
      <c r="H689" s="93" t="n"/>
      <c r="I689" s="93" t="n"/>
      <c r="J689" s="93" t="n"/>
      <c r="K689" s="93" t="n"/>
      <c r="L689" s="93" t="n"/>
      <c r="M689" s="93" t="n"/>
      <c r="N689" s="93" t="n"/>
      <c r="O689" s="93" t="n"/>
      <c r="P689" s="93" t="n"/>
      <c r="Q689" s="93" t="n"/>
      <c r="R689" s="93" t="n"/>
      <c r="S689" s="93" t="n"/>
      <c r="T689" s="93" t="n"/>
    </row>
    <row r="690" ht="12.75" customHeight="1" s="111">
      <c r="A690" s="93" t="n"/>
      <c r="B690" s="93" t="n"/>
      <c r="C690" s="93" t="n"/>
      <c r="D690" s="93" t="n"/>
      <c r="E690" s="93" t="n"/>
      <c r="F690" s="93" t="n"/>
      <c r="G690" s="93" t="n"/>
      <c r="H690" s="93" t="n"/>
      <c r="I690" s="93" t="n"/>
      <c r="J690" s="93" t="n"/>
      <c r="K690" s="93" t="n"/>
      <c r="L690" s="93" t="n"/>
      <c r="M690" s="93" t="n"/>
      <c r="N690" s="93" t="n"/>
      <c r="O690" s="93" t="n"/>
      <c r="P690" s="93" t="n"/>
      <c r="Q690" s="93" t="n"/>
      <c r="R690" s="93" t="n"/>
      <c r="S690" s="93" t="n"/>
      <c r="T690" s="93" t="n"/>
    </row>
    <row r="691" ht="12.75" customHeight="1" s="111">
      <c r="A691" s="93" t="n"/>
      <c r="B691" s="93" t="n"/>
      <c r="C691" s="93" t="n"/>
      <c r="D691" s="93" t="n"/>
      <c r="E691" s="93" t="n"/>
      <c r="F691" s="93" t="n"/>
      <c r="G691" s="93" t="n"/>
      <c r="H691" s="93" t="n"/>
      <c r="I691" s="93" t="n"/>
      <c r="J691" s="93" t="n"/>
      <c r="K691" s="93" t="n"/>
      <c r="L691" s="93" t="n"/>
      <c r="M691" s="93" t="n"/>
      <c r="N691" s="93" t="n"/>
      <c r="O691" s="93" t="n"/>
      <c r="P691" s="93" t="n"/>
      <c r="Q691" s="93" t="n"/>
      <c r="R691" s="93" t="n"/>
      <c r="S691" s="93" t="n"/>
      <c r="T691" s="93" t="n"/>
    </row>
    <row r="692" ht="12.75" customHeight="1" s="111">
      <c r="A692" s="93" t="n"/>
      <c r="B692" s="93" t="n"/>
      <c r="C692" s="93" t="n"/>
      <c r="D692" s="93" t="n"/>
      <c r="E692" s="93" t="n"/>
      <c r="F692" s="93" t="n"/>
      <c r="G692" s="93" t="n"/>
      <c r="H692" s="93" t="n"/>
      <c r="I692" s="93" t="n"/>
      <c r="J692" s="93" t="n"/>
      <c r="K692" s="93" t="n"/>
      <c r="L692" s="93" t="n"/>
      <c r="M692" s="93" t="n"/>
      <c r="N692" s="93" t="n"/>
      <c r="O692" s="93" t="n"/>
      <c r="P692" s="93" t="n"/>
      <c r="Q692" s="93" t="n"/>
      <c r="R692" s="93" t="n"/>
      <c r="S692" s="93" t="n"/>
      <c r="T692" s="93" t="n"/>
    </row>
    <row r="693" ht="12.75" customHeight="1" s="111">
      <c r="A693" s="93" t="n"/>
      <c r="B693" s="93" t="n"/>
      <c r="C693" s="93" t="n"/>
      <c r="D693" s="93" t="n"/>
      <c r="E693" s="93" t="n"/>
      <c r="F693" s="93" t="n"/>
      <c r="G693" s="93" t="n"/>
      <c r="H693" s="93" t="n"/>
      <c r="I693" s="93" t="n"/>
      <c r="J693" s="93" t="n"/>
      <c r="K693" s="93" t="n"/>
      <c r="L693" s="93" t="n"/>
      <c r="M693" s="93" t="n"/>
      <c r="N693" s="93" t="n"/>
      <c r="O693" s="93" t="n"/>
      <c r="P693" s="93" t="n"/>
      <c r="Q693" s="93" t="n"/>
      <c r="R693" s="93" t="n"/>
      <c r="S693" s="93" t="n"/>
      <c r="T693" s="93" t="n"/>
    </row>
    <row r="694" ht="12.75" customHeight="1" s="111">
      <c r="A694" s="93" t="n"/>
      <c r="B694" s="93" t="n"/>
      <c r="C694" s="93" t="n"/>
      <c r="D694" s="93" t="n"/>
      <c r="E694" s="93" t="n"/>
      <c r="F694" s="93" t="n"/>
      <c r="G694" s="93" t="n"/>
      <c r="H694" s="93" t="n"/>
      <c r="I694" s="93" t="n"/>
      <c r="J694" s="93" t="n"/>
      <c r="K694" s="93" t="n"/>
      <c r="L694" s="93" t="n"/>
      <c r="M694" s="93" t="n"/>
      <c r="N694" s="93" t="n"/>
      <c r="O694" s="93" t="n"/>
      <c r="P694" s="93" t="n"/>
      <c r="Q694" s="93" t="n"/>
      <c r="R694" s="93" t="n"/>
      <c r="S694" s="93" t="n"/>
      <c r="T694" s="93" t="n"/>
    </row>
    <row r="695" ht="12.75" customHeight="1" s="111">
      <c r="A695" s="93" t="n"/>
      <c r="B695" s="93" t="n"/>
      <c r="C695" s="93" t="n"/>
      <c r="D695" s="93" t="n"/>
      <c r="E695" s="93" t="n"/>
      <c r="F695" s="93" t="n"/>
      <c r="G695" s="93" t="n"/>
      <c r="H695" s="93" t="n"/>
      <c r="I695" s="93" t="n"/>
      <c r="J695" s="93" t="n"/>
      <c r="K695" s="93" t="n"/>
      <c r="L695" s="93" t="n"/>
      <c r="M695" s="93" t="n"/>
      <c r="N695" s="93" t="n"/>
      <c r="O695" s="93" t="n"/>
      <c r="P695" s="93" t="n"/>
      <c r="Q695" s="93" t="n"/>
      <c r="R695" s="93" t="n"/>
      <c r="S695" s="93" t="n"/>
      <c r="T695" s="93" t="n"/>
    </row>
    <row r="696" ht="12.75" customHeight="1" s="111">
      <c r="A696" s="93" t="n"/>
      <c r="B696" s="93" t="n"/>
      <c r="C696" s="93" t="n"/>
      <c r="D696" s="93" t="n"/>
      <c r="E696" s="93" t="n"/>
      <c r="F696" s="93" t="n"/>
      <c r="G696" s="93" t="n"/>
      <c r="H696" s="93" t="n"/>
      <c r="I696" s="93" t="n"/>
      <c r="J696" s="93" t="n"/>
      <c r="K696" s="93" t="n"/>
      <c r="L696" s="93" t="n"/>
      <c r="M696" s="93" t="n"/>
      <c r="N696" s="93" t="n"/>
      <c r="O696" s="93" t="n"/>
      <c r="P696" s="93" t="n"/>
      <c r="Q696" s="93" t="n"/>
      <c r="R696" s="93" t="n"/>
      <c r="S696" s="93" t="n"/>
      <c r="T696" s="93" t="n"/>
    </row>
    <row r="697" ht="12.75" customHeight="1" s="111">
      <c r="A697" s="93" t="n"/>
      <c r="B697" s="93" t="n"/>
      <c r="C697" s="93" t="n"/>
      <c r="D697" s="93" t="n"/>
      <c r="E697" s="93" t="n"/>
      <c r="F697" s="93" t="n"/>
      <c r="G697" s="93" t="n"/>
      <c r="H697" s="93" t="n"/>
      <c r="I697" s="93" t="n"/>
      <c r="J697" s="93" t="n"/>
      <c r="K697" s="93" t="n"/>
      <c r="L697" s="93" t="n"/>
      <c r="M697" s="93" t="n"/>
      <c r="N697" s="93" t="n"/>
      <c r="O697" s="93" t="n"/>
      <c r="P697" s="93" t="n"/>
      <c r="Q697" s="93" t="n"/>
      <c r="R697" s="93" t="n"/>
      <c r="S697" s="93" t="n"/>
      <c r="T697" s="93" t="n"/>
    </row>
    <row r="698" ht="12.75" customHeight="1" s="111">
      <c r="A698" s="93" t="n"/>
      <c r="B698" s="93" t="n"/>
      <c r="C698" s="93" t="n"/>
      <c r="D698" s="93" t="n"/>
      <c r="E698" s="93" t="n"/>
      <c r="F698" s="93" t="n"/>
      <c r="G698" s="93" t="n"/>
      <c r="H698" s="93" t="n"/>
      <c r="I698" s="93" t="n"/>
      <c r="J698" s="93" t="n"/>
      <c r="K698" s="93" t="n"/>
      <c r="L698" s="93" t="n"/>
      <c r="M698" s="93" t="n"/>
      <c r="N698" s="93" t="n"/>
      <c r="O698" s="93" t="n"/>
      <c r="P698" s="93" t="n"/>
      <c r="Q698" s="93" t="n"/>
      <c r="R698" s="93" t="n"/>
      <c r="S698" s="93" t="n"/>
      <c r="T698" s="93" t="n"/>
    </row>
    <row r="699" ht="12.75" customHeight="1" s="111">
      <c r="A699" s="93" t="n"/>
      <c r="B699" s="93" t="n"/>
      <c r="C699" s="93" t="n"/>
      <c r="D699" s="93" t="n"/>
      <c r="E699" s="93" t="n"/>
      <c r="F699" s="93" t="n"/>
      <c r="G699" s="93" t="n"/>
      <c r="H699" s="93" t="n"/>
      <c r="I699" s="93" t="n"/>
      <c r="J699" s="93" t="n"/>
      <c r="K699" s="93" t="n"/>
      <c r="L699" s="93" t="n"/>
      <c r="M699" s="93" t="n"/>
      <c r="N699" s="93" t="n"/>
      <c r="O699" s="93" t="n"/>
      <c r="P699" s="93" t="n"/>
      <c r="Q699" s="93" t="n"/>
      <c r="R699" s="93" t="n"/>
      <c r="S699" s="93" t="n"/>
      <c r="T699" s="93" t="n"/>
    </row>
    <row r="700" ht="12.75" customHeight="1" s="111">
      <c r="A700" s="93" t="n"/>
      <c r="B700" s="93" t="n"/>
      <c r="C700" s="93" t="n"/>
      <c r="D700" s="93" t="n"/>
      <c r="E700" s="93" t="n"/>
      <c r="F700" s="93" t="n"/>
      <c r="G700" s="93" t="n"/>
      <c r="H700" s="93" t="n"/>
      <c r="I700" s="93" t="n"/>
      <c r="J700" s="93" t="n"/>
      <c r="K700" s="93" t="n"/>
      <c r="L700" s="93" t="n"/>
      <c r="M700" s="93" t="n"/>
      <c r="N700" s="93" t="n"/>
      <c r="O700" s="93" t="n"/>
      <c r="P700" s="93" t="n"/>
      <c r="Q700" s="93" t="n"/>
      <c r="R700" s="93" t="n"/>
      <c r="S700" s="93" t="n"/>
      <c r="T700" s="93" t="n"/>
    </row>
    <row r="701" ht="12.75" customHeight="1" s="111">
      <c r="A701" s="93" t="n"/>
      <c r="B701" s="93" t="n"/>
      <c r="C701" s="93" t="n"/>
      <c r="D701" s="93" t="n"/>
      <c r="E701" s="93" t="n"/>
      <c r="F701" s="93" t="n"/>
      <c r="G701" s="93" t="n"/>
      <c r="H701" s="93" t="n"/>
      <c r="I701" s="93" t="n"/>
      <c r="J701" s="93" t="n"/>
      <c r="K701" s="93" t="n"/>
      <c r="L701" s="93" t="n"/>
      <c r="M701" s="93" t="n"/>
      <c r="N701" s="93" t="n"/>
      <c r="O701" s="93" t="n"/>
      <c r="P701" s="93" t="n"/>
      <c r="Q701" s="93" t="n"/>
      <c r="R701" s="93" t="n"/>
      <c r="S701" s="93" t="n"/>
      <c r="T701" s="93" t="n"/>
    </row>
    <row r="702" ht="12.75" customHeight="1" s="111">
      <c r="A702" s="93" t="n"/>
      <c r="B702" s="93" t="n"/>
      <c r="C702" s="93" t="n"/>
      <c r="D702" s="93" t="n"/>
      <c r="E702" s="93" t="n"/>
      <c r="F702" s="93" t="n"/>
      <c r="G702" s="93" t="n"/>
      <c r="H702" s="93" t="n"/>
      <c r="I702" s="93" t="n"/>
      <c r="J702" s="93" t="n"/>
      <c r="K702" s="93" t="n"/>
      <c r="L702" s="93" t="n"/>
      <c r="M702" s="93" t="n"/>
      <c r="N702" s="93" t="n"/>
      <c r="O702" s="93" t="n"/>
      <c r="P702" s="93" t="n"/>
      <c r="Q702" s="93" t="n"/>
      <c r="R702" s="93" t="n"/>
      <c r="S702" s="93" t="n"/>
      <c r="T702" s="93" t="n"/>
    </row>
    <row r="703" ht="12.75" customHeight="1" s="111">
      <c r="A703" s="93" t="n"/>
      <c r="B703" s="93" t="n"/>
      <c r="C703" s="93" t="n"/>
      <c r="D703" s="93" t="n"/>
      <c r="E703" s="93" t="n"/>
      <c r="F703" s="93" t="n"/>
      <c r="G703" s="93" t="n"/>
      <c r="H703" s="93" t="n"/>
      <c r="I703" s="93" t="n"/>
      <c r="J703" s="93" t="n"/>
      <c r="K703" s="93" t="n"/>
      <c r="L703" s="93" t="n"/>
      <c r="M703" s="93" t="n"/>
      <c r="N703" s="93" t="n"/>
      <c r="O703" s="93" t="n"/>
      <c r="P703" s="93" t="n"/>
      <c r="Q703" s="93" t="n"/>
      <c r="R703" s="93" t="n"/>
      <c r="S703" s="93" t="n"/>
      <c r="T703" s="93" t="n"/>
    </row>
    <row r="704" ht="12.75" customHeight="1" s="111">
      <c r="A704" s="93" t="n"/>
      <c r="B704" s="93" t="n"/>
      <c r="C704" s="93" t="n"/>
      <c r="D704" s="93" t="n"/>
      <c r="E704" s="93" t="n"/>
      <c r="F704" s="93" t="n"/>
      <c r="G704" s="93" t="n"/>
      <c r="H704" s="93" t="n"/>
      <c r="I704" s="93" t="n"/>
      <c r="J704" s="93" t="n"/>
      <c r="K704" s="93" t="n"/>
      <c r="L704" s="93" t="n"/>
      <c r="M704" s="93" t="n"/>
      <c r="N704" s="93" t="n"/>
      <c r="O704" s="93" t="n"/>
      <c r="P704" s="93" t="n"/>
      <c r="Q704" s="93" t="n"/>
      <c r="R704" s="93" t="n"/>
      <c r="S704" s="93" t="n"/>
      <c r="T704" s="93" t="n"/>
    </row>
    <row r="705" ht="12.75" customHeight="1" s="111">
      <c r="A705" s="93" t="n"/>
      <c r="B705" s="93" t="n"/>
      <c r="C705" s="93" t="n"/>
      <c r="D705" s="93" t="n"/>
      <c r="E705" s="93" t="n"/>
      <c r="F705" s="93" t="n"/>
      <c r="G705" s="93" t="n"/>
      <c r="H705" s="93" t="n"/>
      <c r="I705" s="93" t="n"/>
      <c r="J705" s="93" t="n"/>
      <c r="K705" s="93" t="n"/>
      <c r="L705" s="93" t="n"/>
      <c r="M705" s="93" t="n"/>
      <c r="N705" s="93" t="n"/>
      <c r="O705" s="93" t="n"/>
      <c r="P705" s="93" t="n"/>
      <c r="Q705" s="93" t="n"/>
      <c r="R705" s="93" t="n"/>
      <c r="S705" s="93" t="n"/>
      <c r="T705" s="93" t="n"/>
    </row>
    <row r="706" ht="12.75" customHeight="1" s="111">
      <c r="A706" s="93" t="n"/>
      <c r="B706" s="93" t="n"/>
      <c r="C706" s="93" t="n"/>
      <c r="D706" s="93" t="n"/>
      <c r="E706" s="93" t="n"/>
      <c r="F706" s="93" t="n"/>
      <c r="G706" s="93" t="n"/>
      <c r="H706" s="93" t="n"/>
      <c r="I706" s="93" t="n"/>
      <c r="J706" s="93" t="n"/>
      <c r="K706" s="93" t="n"/>
      <c r="L706" s="93" t="n"/>
      <c r="M706" s="93" t="n"/>
      <c r="N706" s="93" t="n"/>
      <c r="O706" s="93" t="n"/>
      <c r="P706" s="93" t="n"/>
      <c r="Q706" s="93" t="n"/>
      <c r="R706" s="93" t="n"/>
      <c r="S706" s="93" t="n"/>
      <c r="T706" s="93" t="n"/>
    </row>
    <row r="707" ht="12.75" customHeight="1" s="111">
      <c r="A707" s="93" t="n"/>
      <c r="B707" s="93" t="n"/>
      <c r="C707" s="93" t="n"/>
      <c r="D707" s="93" t="n"/>
      <c r="E707" s="93" t="n"/>
      <c r="F707" s="93" t="n"/>
      <c r="G707" s="93" t="n"/>
      <c r="H707" s="93" t="n"/>
      <c r="I707" s="93" t="n"/>
      <c r="J707" s="93" t="n"/>
      <c r="K707" s="93" t="n"/>
      <c r="L707" s="93" t="n"/>
      <c r="M707" s="93" t="n"/>
      <c r="N707" s="93" t="n"/>
      <c r="O707" s="93" t="n"/>
      <c r="P707" s="93" t="n"/>
      <c r="Q707" s="93" t="n"/>
      <c r="R707" s="93" t="n"/>
      <c r="S707" s="93" t="n"/>
      <c r="T707" s="93" t="n"/>
    </row>
    <row r="708" ht="12.75" customHeight="1" s="111">
      <c r="A708" s="93" t="n"/>
      <c r="B708" s="93" t="n"/>
      <c r="C708" s="93" t="n"/>
      <c r="D708" s="93" t="n"/>
      <c r="E708" s="93" t="n"/>
      <c r="F708" s="93" t="n"/>
      <c r="G708" s="93" t="n"/>
      <c r="H708" s="93" t="n"/>
      <c r="I708" s="93" t="n"/>
      <c r="J708" s="93" t="n"/>
      <c r="K708" s="93" t="n"/>
      <c r="L708" s="93" t="n"/>
      <c r="M708" s="93" t="n"/>
      <c r="N708" s="93" t="n"/>
      <c r="O708" s="93" t="n"/>
      <c r="P708" s="93" t="n"/>
      <c r="Q708" s="93" t="n"/>
      <c r="R708" s="93" t="n"/>
      <c r="S708" s="93" t="n"/>
      <c r="T708" s="93" t="n"/>
    </row>
    <row r="709" ht="12.75" customHeight="1" s="111">
      <c r="A709" s="93" t="n"/>
      <c r="B709" s="93" t="n"/>
      <c r="C709" s="93" t="n"/>
      <c r="D709" s="93" t="n"/>
      <c r="E709" s="93" t="n"/>
      <c r="F709" s="93" t="n"/>
      <c r="G709" s="93" t="n"/>
      <c r="H709" s="93" t="n"/>
      <c r="I709" s="93" t="n"/>
      <c r="J709" s="93" t="n"/>
      <c r="K709" s="93" t="n"/>
      <c r="L709" s="93" t="n"/>
      <c r="M709" s="93" t="n"/>
      <c r="N709" s="93" t="n"/>
      <c r="O709" s="93" t="n"/>
      <c r="P709" s="93" t="n"/>
      <c r="Q709" s="93" t="n"/>
      <c r="R709" s="93" t="n"/>
      <c r="S709" s="93" t="n"/>
      <c r="T709" s="93" t="n"/>
    </row>
    <row r="710" ht="12.75" customHeight="1" s="111">
      <c r="A710" s="93" t="n"/>
      <c r="B710" s="93" t="n"/>
      <c r="C710" s="93" t="n"/>
      <c r="D710" s="93" t="n"/>
      <c r="E710" s="93" t="n"/>
      <c r="F710" s="93" t="n"/>
      <c r="G710" s="93" t="n"/>
      <c r="H710" s="93" t="n"/>
      <c r="I710" s="93" t="n"/>
      <c r="J710" s="93" t="n"/>
      <c r="K710" s="93" t="n"/>
      <c r="L710" s="93" t="n"/>
      <c r="M710" s="93" t="n"/>
      <c r="N710" s="93" t="n"/>
      <c r="O710" s="93" t="n"/>
      <c r="P710" s="93" t="n"/>
      <c r="Q710" s="93" t="n"/>
      <c r="R710" s="93" t="n"/>
      <c r="S710" s="93" t="n"/>
      <c r="T710" s="93" t="n"/>
    </row>
    <row r="711" ht="12.75" customHeight="1" s="111">
      <c r="A711" s="93" t="n"/>
      <c r="B711" s="93" t="n"/>
      <c r="C711" s="93" t="n"/>
      <c r="D711" s="93" t="n"/>
      <c r="E711" s="93" t="n"/>
      <c r="F711" s="93" t="n"/>
      <c r="G711" s="93" t="n"/>
      <c r="H711" s="93" t="n"/>
      <c r="I711" s="93" t="n"/>
      <c r="J711" s="93" t="n"/>
      <c r="K711" s="93" t="n"/>
      <c r="L711" s="93" t="n"/>
      <c r="M711" s="93" t="n"/>
      <c r="N711" s="93" t="n"/>
      <c r="O711" s="93" t="n"/>
      <c r="P711" s="93" t="n"/>
      <c r="Q711" s="93" t="n"/>
      <c r="R711" s="93" t="n"/>
      <c r="S711" s="93" t="n"/>
      <c r="T711" s="93" t="n"/>
    </row>
    <row r="712" ht="12.75" customHeight="1" s="111">
      <c r="A712" s="93" t="n"/>
      <c r="B712" s="93" t="n"/>
      <c r="C712" s="93" t="n"/>
      <c r="D712" s="93" t="n"/>
      <c r="E712" s="93" t="n"/>
      <c r="F712" s="93" t="n"/>
      <c r="G712" s="93" t="n"/>
      <c r="H712" s="93" t="n"/>
      <c r="I712" s="93" t="n"/>
      <c r="J712" s="93" t="n"/>
      <c r="K712" s="93" t="n"/>
      <c r="L712" s="93" t="n"/>
      <c r="M712" s="93" t="n"/>
      <c r="N712" s="93" t="n"/>
      <c r="O712" s="93" t="n"/>
      <c r="P712" s="93" t="n"/>
      <c r="Q712" s="93" t="n"/>
      <c r="R712" s="93" t="n"/>
      <c r="S712" s="93" t="n"/>
      <c r="T712" s="93" t="n"/>
    </row>
    <row r="713" ht="12.75" customHeight="1" s="111">
      <c r="A713" s="93" t="n"/>
      <c r="B713" s="93" t="n"/>
      <c r="C713" s="93" t="n"/>
      <c r="D713" s="93" t="n"/>
      <c r="E713" s="93" t="n"/>
      <c r="F713" s="93" t="n"/>
      <c r="G713" s="93" t="n"/>
      <c r="H713" s="93" t="n"/>
      <c r="I713" s="93" t="n"/>
      <c r="J713" s="93" t="n"/>
      <c r="K713" s="93" t="n"/>
      <c r="L713" s="93" t="n"/>
      <c r="M713" s="93" t="n"/>
      <c r="N713" s="93" t="n"/>
      <c r="O713" s="93" t="n"/>
      <c r="P713" s="93" t="n"/>
      <c r="Q713" s="93" t="n"/>
      <c r="R713" s="93" t="n"/>
      <c r="S713" s="93" t="n"/>
      <c r="T713" s="93" t="n"/>
    </row>
    <row r="714" ht="12.75" customHeight="1" s="111">
      <c r="A714" s="93" t="n"/>
      <c r="B714" s="93" t="n"/>
      <c r="C714" s="93" t="n"/>
      <c r="D714" s="93" t="n"/>
      <c r="E714" s="93" t="n"/>
      <c r="F714" s="93" t="n"/>
      <c r="G714" s="93" t="n"/>
      <c r="H714" s="93" t="n"/>
      <c r="I714" s="93" t="n"/>
      <c r="J714" s="93" t="n"/>
      <c r="K714" s="93" t="n"/>
      <c r="L714" s="93" t="n"/>
      <c r="M714" s="93" t="n"/>
      <c r="N714" s="93" t="n"/>
      <c r="O714" s="93" t="n"/>
      <c r="P714" s="93" t="n"/>
      <c r="Q714" s="93" t="n"/>
      <c r="R714" s="93" t="n"/>
      <c r="S714" s="93" t="n"/>
      <c r="T714" s="93" t="n"/>
    </row>
    <row r="715" ht="12.75" customHeight="1" s="111">
      <c r="A715" s="93" t="n"/>
      <c r="B715" s="93" t="n"/>
      <c r="C715" s="93" t="n"/>
      <c r="D715" s="93" t="n"/>
      <c r="E715" s="93" t="n"/>
      <c r="F715" s="93" t="n"/>
      <c r="G715" s="93" t="n"/>
      <c r="H715" s="93" t="n"/>
      <c r="I715" s="93" t="n"/>
      <c r="J715" s="93" t="n"/>
      <c r="K715" s="93" t="n"/>
      <c r="L715" s="93" t="n"/>
      <c r="M715" s="93" t="n"/>
      <c r="N715" s="93" t="n"/>
      <c r="O715" s="93" t="n"/>
      <c r="P715" s="93" t="n"/>
      <c r="Q715" s="93" t="n"/>
      <c r="R715" s="93" t="n"/>
      <c r="S715" s="93" t="n"/>
      <c r="T715" s="93" t="n"/>
    </row>
    <row r="716" ht="12.75" customHeight="1" s="111">
      <c r="A716" s="93" t="n"/>
      <c r="B716" s="93" t="n"/>
      <c r="C716" s="93" t="n"/>
      <c r="D716" s="93" t="n"/>
      <c r="E716" s="93" t="n"/>
      <c r="F716" s="93" t="n"/>
      <c r="G716" s="93" t="n"/>
      <c r="H716" s="93" t="n"/>
      <c r="I716" s="93" t="n"/>
      <c r="J716" s="93" t="n"/>
      <c r="K716" s="93" t="n"/>
      <c r="L716" s="93" t="n"/>
      <c r="M716" s="93" t="n"/>
      <c r="N716" s="93" t="n"/>
      <c r="O716" s="93" t="n"/>
      <c r="P716" s="93" t="n"/>
      <c r="Q716" s="93" t="n"/>
      <c r="R716" s="93" t="n"/>
      <c r="S716" s="93" t="n"/>
      <c r="T716" s="93" t="n"/>
    </row>
    <row r="717" ht="12.75" customHeight="1" s="111">
      <c r="A717" s="93" t="n"/>
      <c r="B717" s="93" t="n"/>
      <c r="C717" s="93" t="n"/>
      <c r="D717" s="93" t="n"/>
      <c r="E717" s="93" t="n"/>
      <c r="F717" s="93" t="n"/>
      <c r="G717" s="93" t="n"/>
      <c r="H717" s="93" t="n"/>
      <c r="I717" s="93" t="n"/>
      <c r="J717" s="93" t="n"/>
      <c r="K717" s="93" t="n"/>
      <c r="L717" s="93" t="n"/>
      <c r="M717" s="93" t="n"/>
      <c r="N717" s="93" t="n"/>
      <c r="O717" s="93" t="n"/>
      <c r="P717" s="93" t="n"/>
      <c r="Q717" s="93" t="n"/>
      <c r="R717" s="93" t="n"/>
      <c r="S717" s="93" t="n"/>
      <c r="T717" s="93" t="n"/>
    </row>
    <row r="718" ht="12.75" customHeight="1" s="111">
      <c r="A718" s="93" t="n"/>
      <c r="B718" s="93" t="n"/>
      <c r="C718" s="93" t="n"/>
      <c r="D718" s="93" t="n"/>
      <c r="E718" s="93" t="n"/>
      <c r="F718" s="93" t="n"/>
      <c r="G718" s="93" t="n"/>
      <c r="H718" s="93" t="n"/>
      <c r="I718" s="93" t="n"/>
      <c r="J718" s="93" t="n"/>
      <c r="K718" s="93" t="n"/>
      <c r="L718" s="93" t="n"/>
      <c r="M718" s="93" t="n"/>
      <c r="N718" s="93" t="n"/>
      <c r="O718" s="93" t="n"/>
      <c r="P718" s="93" t="n"/>
      <c r="Q718" s="93" t="n"/>
      <c r="R718" s="93" t="n"/>
      <c r="S718" s="93" t="n"/>
      <c r="T718" s="93" t="n"/>
    </row>
    <row r="719" ht="12.75" customHeight="1" s="111">
      <c r="A719" s="93" t="n"/>
      <c r="B719" s="93" t="n"/>
      <c r="C719" s="93" t="n"/>
      <c r="D719" s="93" t="n"/>
      <c r="E719" s="93" t="n"/>
      <c r="F719" s="93" t="n"/>
      <c r="G719" s="93" t="n"/>
      <c r="H719" s="93" t="n"/>
      <c r="I719" s="93" t="n"/>
      <c r="J719" s="93" t="n"/>
      <c r="K719" s="93" t="n"/>
      <c r="L719" s="93" t="n"/>
      <c r="M719" s="93" t="n"/>
      <c r="N719" s="93" t="n"/>
      <c r="O719" s="93" t="n"/>
      <c r="P719" s="93" t="n"/>
      <c r="Q719" s="93" t="n"/>
      <c r="R719" s="93" t="n"/>
      <c r="S719" s="93" t="n"/>
      <c r="T719" s="93" t="n"/>
    </row>
    <row r="720" ht="12.75" customHeight="1" s="111">
      <c r="A720" s="93" t="n"/>
      <c r="B720" s="93" t="n"/>
      <c r="C720" s="93" t="n"/>
      <c r="D720" s="93" t="n"/>
      <c r="E720" s="93" t="n"/>
      <c r="F720" s="93" t="n"/>
      <c r="G720" s="93" t="n"/>
      <c r="H720" s="93" t="n"/>
      <c r="I720" s="93" t="n"/>
      <c r="J720" s="93" t="n"/>
      <c r="K720" s="93" t="n"/>
      <c r="L720" s="93" t="n"/>
      <c r="M720" s="93" t="n"/>
      <c r="N720" s="93" t="n"/>
      <c r="O720" s="93" t="n"/>
      <c r="P720" s="93" t="n"/>
      <c r="Q720" s="93" t="n"/>
      <c r="R720" s="93" t="n"/>
      <c r="S720" s="93" t="n"/>
      <c r="T720" s="93" t="n"/>
    </row>
    <row r="721" ht="12.75" customHeight="1" s="111">
      <c r="A721" s="93" t="n"/>
      <c r="B721" s="93" t="n"/>
      <c r="C721" s="93" t="n"/>
      <c r="D721" s="93" t="n"/>
      <c r="E721" s="93" t="n"/>
      <c r="F721" s="93" t="n"/>
      <c r="G721" s="93" t="n"/>
      <c r="H721" s="93" t="n"/>
      <c r="I721" s="93" t="n"/>
      <c r="J721" s="93" t="n"/>
      <c r="K721" s="93" t="n"/>
      <c r="L721" s="93" t="n"/>
      <c r="M721" s="93" t="n"/>
      <c r="N721" s="93" t="n"/>
      <c r="O721" s="93" t="n"/>
      <c r="P721" s="93" t="n"/>
      <c r="Q721" s="93" t="n"/>
      <c r="R721" s="93" t="n"/>
      <c r="S721" s="93" t="n"/>
      <c r="T721" s="93" t="n"/>
    </row>
    <row r="722" ht="12.75" customHeight="1" s="111">
      <c r="A722" s="93" t="n"/>
      <c r="B722" s="93" t="n"/>
      <c r="C722" s="93" t="n"/>
      <c r="D722" s="93" t="n"/>
      <c r="E722" s="93" t="n"/>
      <c r="F722" s="93" t="n"/>
      <c r="G722" s="93" t="n"/>
      <c r="H722" s="93" t="n"/>
      <c r="I722" s="93" t="n"/>
      <c r="J722" s="93" t="n"/>
      <c r="K722" s="93" t="n"/>
      <c r="L722" s="93" t="n"/>
      <c r="M722" s="93" t="n"/>
      <c r="N722" s="93" t="n"/>
      <c r="O722" s="93" t="n"/>
      <c r="P722" s="93" t="n"/>
      <c r="Q722" s="93" t="n"/>
      <c r="R722" s="93" t="n"/>
      <c r="S722" s="93" t="n"/>
      <c r="T722" s="93" t="n"/>
    </row>
    <row r="723" ht="12.75" customHeight="1" s="111">
      <c r="A723" s="93" t="n"/>
      <c r="B723" s="93" t="n"/>
      <c r="C723" s="93" t="n"/>
      <c r="D723" s="93" t="n"/>
      <c r="E723" s="93" t="n"/>
      <c r="F723" s="93" t="n"/>
      <c r="G723" s="93" t="n"/>
      <c r="H723" s="93" t="n"/>
      <c r="I723" s="93" t="n"/>
      <c r="J723" s="93" t="n"/>
      <c r="K723" s="93" t="n"/>
      <c r="L723" s="93" t="n"/>
      <c r="M723" s="93" t="n"/>
      <c r="N723" s="93" t="n"/>
      <c r="O723" s="93" t="n"/>
      <c r="P723" s="93" t="n"/>
      <c r="Q723" s="93" t="n"/>
      <c r="R723" s="93" t="n"/>
      <c r="S723" s="93" t="n"/>
      <c r="T723" s="93" t="n"/>
    </row>
    <row r="724" ht="12.75" customHeight="1" s="111">
      <c r="A724" s="93" t="n"/>
      <c r="B724" s="93" t="n"/>
      <c r="C724" s="93" t="n"/>
      <c r="D724" s="93" t="n"/>
      <c r="E724" s="93" t="n"/>
      <c r="F724" s="93" t="n"/>
      <c r="G724" s="93" t="n"/>
      <c r="H724" s="93" t="n"/>
      <c r="I724" s="93" t="n"/>
      <c r="J724" s="93" t="n"/>
      <c r="K724" s="93" t="n"/>
      <c r="L724" s="93" t="n"/>
      <c r="M724" s="93" t="n"/>
      <c r="N724" s="93" t="n"/>
      <c r="O724" s="93" t="n"/>
      <c r="P724" s="93" t="n"/>
      <c r="Q724" s="93" t="n"/>
      <c r="R724" s="93" t="n"/>
      <c r="S724" s="93" t="n"/>
      <c r="T724" s="93" t="n"/>
    </row>
    <row r="725" ht="12.75" customHeight="1" s="111">
      <c r="A725" s="93" t="n"/>
      <c r="B725" s="93" t="n"/>
      <c r="C725" s="93" t="n"/>
      <c r="D725" s="93" t="n"/>
      <c r="E725" s="93" t="n"/>
      <c r="F725" s="93" t="n"/>
      <c r="G725" s="93" t="n"/>
      <c r="H725" s="93" t="n"/>
      <c r="I725" s="93" t="n"/>
      <c r="J725" s="93" t="n"/>
      <c r="K725" s="93" t="n"/>
      <c r="L725" s="93" t="n"/>
      <c r="M725" s="93" t="n"/>
      <c r="N725" s="93" t="n"/>
      <c r="O725" s="93" t="n"/>
      <c r="P725" s="93" t="n"/>
      <c r="Q725" s="93" t="n"/>
      <c r="R725" s="93" t="n"/>
      <c r="S725" s="93" t="n"/>
      <c r="T725" s="93" t="n"/>
    </row>
    <row r="726" ht="12.75" customHeight="1" s="111">
      <c r="A726" s="93" t="n"/>
      <c r="B726" s="93" t="n"/>
      <c r="C726" s="93" t="n"/>
      <c r="D726" s="93" t="n"/>
      <c r="E726" s="93" t="n"/>
      <c r="F726" s="93" t="n"/>
      <c r="G726" s="93" t="n"/>
      <c r="H726" s="93" t="n"/>
      <c r="I726" s="93" t="n"/>
      <c r="J726" s="93" t="n"/>
      <c r="K726" s="93" t="n"/>
      <c r="L726" s="93" t="n"/>
      <c r="M726" s="93" t="n"/>
      <c r="N726" s="93" t="n"/>
      <c r="O726" s="93" t="n"/>
      <c r="P726" s="93" t="n"/>
      <c r="Q726" s="93" t="n"/>
      <c r="R726" s="93" t="n"/>
      <c r="S726" s="93" t="n"/>
      <c r="T726" s="93" t="n"/>
    </row>
    <row r="727" ht="12.75" customHeight="1" s="111">
      <c r="A727" s="93" t="n"/>
      <c r="B727" s="93" t="n"/>
      <c r="C727" s="93" t="n"/>
      <c r="D727" s="93" t="n"/>
      <c r="E727" s="93" t="n"/>
      <c r="F727" s="93" t="n"/>
      <c r="G727" s="93" t="n"/>
      <c r="H727" s="93" t="n"/>
      <c r="I727" s="93" t="n"/>
      <c r="J727" s="93" t="n"/>
      <c r="K727" s="93" t="n"/>
      <c r="L727" s="93" t="n"/>
      <c r="M727" s="93" t="n"/>
      <c r="N727" s="93" t="n"/>
      <c r="O727" s="93" t="n"/>
      <c r="P727" s="93" t="n"/>
      <c r="Q727" s="93" t="n"/>
      <c r="R727" s="93" t="n"/>
      <c r="S727" s="93" t="n"/>
      <c r="T727" s="93" t="n"/>
    </row>
    <row r="728" ht="12.75" customHeight="1" s="111">
      <c r="A728" s="93" t="n"/>
      <c r="B728" s="93" t="n"/>
      <c r="C728" s="93" t="n"/>
      <c r="D728" s="93" t="n"/>
      <c r="E728" s="93" t="n"/>
      <c r="F728" s="93" t="n"/>
      <c r="G728" s="93" t="n"/>
      <c r="H728" s="93" t="n"/>
      <c r="I728" s="93" t="n"/>
      <c r="J728" s="93" t="n"/>
      <c r="K728" s="93" t="n"/>
      <c r="L728" s="93" t="n"/>
      <c r="M728" s="93" t="n"/>
      <c r="N728" s="93" t="n"/>
      <c r="O728" s="93" t="n"/>
      <c r="P728" s="93" t="n"/>
      <c r="Q728" s="93" t="n"/>
      <c r="R728" s="93" t="n"/>
      <c r="S728" s="93" t="n"/>
      <c r="T728" s="93" t="n"/>
    </row>
    <row r="729" ht="12.75" customHeight="1" s="111">
      <c r="A729" s="93" t="n"/>
      <c r="B729" s="93" t="n"/>
      <c r="C729" s="93" t="n"/>
      <c r="D729" s="93" t="n"/>
      <c r="E729" s="93" t="n"/>
      <c r="F729" s="93" t="n"/>
      <c r="G729" s="93" t="n"/>
      <c r="H729" s="93" t="n"/>
      <c r="I729" s="93" t="n"/>
      <c r="J729" s="93" t="n"/>
      <c r="K729" s="93" t="n"/>
      <c r="L729" s="93" t="n"/>
      <c r="M729" s="93" t="n"/>
      <c r="N729" s="93" t="n"/>
      <c r="O729" s="93" t="n"/>
      <c r="P729" s="93" t="n"/>
      <c r="Q729" s="93" t="n"/>
      <c r="R729" s="93" t="n"/>
      <c r="S729" s="93" t="n"/>
      <c r="T729" s="93" t="n"/>
    </row>
    <row r="730" ht="12.75" customHeight="1" s="111">
      <c r="A730" s="93" t="n"/>
      <c r="B730" s="93" t="n"/>
      <c r="C730" s="93" t="n"/>
      <c r="D730" s="93" t="n"/>
      <c r="E730" s="93" t="n"/>
      <c r="F730" s="93" t="n"/>
      <c r="G730" s="93" t="n"/>
      <c r="H730" s="93" t="n"/>
      <c r="I730" s="93" t="n"/>
      <c r="J730" s="93" t="n"/>
      <c r="K730" s="93" t="n"/>
      <c r="L730" s="93" t="n"/>
      <c r="M730" s="93" t="n"/>
      <c r="N730" s="93" t="n"/>
      <c r="O730" s="93" t="n"/>
      <c r="P730" s="93" t="n"/>
      <c r="Q730" s="93" t="n"/>
      <c r="R730" s="93" t="n"/>
      <c r="S730" s="93" t="n"/>
      <c r="T730" s="93" t="n"/>
    </row>
    <row r="731" ht="12.75" customHeight="1" s="111">
      <c r="A731" s="93" t="n"/>
      <c r="B731" s="93" t="n"/>
      <c r="C731" s="93" t="n"/>
      <c r="D731" s="93" t="n"/>
      <c r="E731" s="93" t="n"/>
      <c r="F731" s="93" t="n"/>
      <c r="G731" s="93" t="n"/>
      <c r="H731" s="93" t="n"/>
      <c r="I731" s="93" t="n"/>
      <c r="J731" s="93" t="n"/>
      <c r="K731" s="93" t="n"/>
      <c r="L731" s="93" t="n"/>
      <c r="M731" s="93" t="n"/>
      <c r="N731" s="93" t="n"/>
      <c r="O731" s="93" t="n"/>
      <c r="P731" s="93" t="n"/>
      <c r="Q731" s="93" t="n"/>
      <c r="R731" s="93" t="n"/>
      <c r="S731" s="93" t="n"/>
      <c r="T731" s="93" t="n"/>
    </row>
    <row r="732" ht="12.75" customHeight="1" s="111">
      <c r="A732" s="93" t="n"/>
      <c r="B732" s="93" t="n"/>
      <c r="C732" s="93" t="n"/>
      <c r="D732" s="93" t="n"/>
      <c r="E732" s="93" t="n"/>
      <c r="F732" s="93" t="n"/>
      <c r="G732" s="93" t="n"/>
      <c r="H732" s="93" t="n"/>
      <c r="I732" s="93" t="n"/>
      <c r="J732" s="93" t="n"/>
      <c r="K732" s="93" t="n"/>
      <c r="L732" s="93" t="n"/>
      <c r="M732" s="93" t="n"/>
      <c r="N732" s="93" t="n"/>
      <c r="O732" s="93" t="n"/>
      <c r="P732" s="93" t="n"/>
      <c r="Q732" s="93" t="n"/>
      <c r="R732" s="93" t="n"/>
      <c r="S732" s="93" t="n"/>
      <c r="T732" s="93" t="n"/>
    </row>
    <row r="733" ht="12.75" customHeight="1" s="111">
      <c r="A733" s="93" t="n"/>
      <c r="B733" s="93" t="n"/>
      <c r="C733" s="93" t="n"/>
      <c r="D733" s="93" t="n"/>
      <c r="E733" s="93" t="n"/>
      <c r="F733" s="93" t="n"/>
      <c r="G733" s="93" t="n"/>
      <c r="H733" s="93" t="n"/>
      <c r="I733" s="93" t="n"/>
      <c r="J733" s="93" t="n"/>
      <c r="K733" s="93" t="n"/>
      <c r="L733" s="93" t="n"/>
      <c r="M733" s="93" t="n"/>
      <c r="N733" s="93" t="n"/>
      <c r="O733" s="93" t="n"/>
      <c r="P733" s="93" t="n"/>
      <c r="Q733" s="93" t="n"/>
      <c r="R733" s="93" t="n"/>
      <c r="S733" s="93" t="n"/>
      <c r="T733" s="93" t="n"/>
    </row>
    <row r="734" ht="12.75" customHeight="1" s="111">
      <c r="A734" s="93" t="n"/>
      <c r="B734" s="93" t="n"/>
      <c r="C734" s="93" t="n"/>
      <c r="D734" s="93" t="n"/>
      <c r="E734" s="93" t="n"/>
      <c r="F734" s="93" t="n"/>
      <c r="G734" s="93" t="n"/>
      <c r="H734" s="93" t="n"/>
      <c r="I734" s="93" t="n"/>
      <c r="J734" s="93" t="n"/>
      <c r="K734" s="93" t="n"/>
      <c r="L734" s="93" t="n"/>
      <c r="M734" s="93" t="n"/>
      <c r="N734" s="93" t="n"/>
      <c r="O734" s="93" t="n"/>
      <c r="P734" s="93" t="n"/>
      <c r="Q734" s="93" t="n"/>
      <c r="R734" s="93" t="n"/>
      <c r="S734" s="93" t="n"/>
      <c r="T734" s="93" t="n"/>
    </row>
    <row r="735" ht="12.75" customHeight="1" s="111">
      <c r="A735" s="93" t="n"/>
      <c r="B735" s="93" t="n"/>
      <c r="C735" s="93" t="n"/>
      <c r="D735" s="93" t="n"/>
      <c r="E735" s="93" t="n"/>
      <c r="F735" s="93" t="n"/>
      <c r="G735" s="93" t="n"/>
      <c r="H735" s="93" t="n"/>
      <c r="I735" s="93" t="n"/>
      <c r="J735" s="93" t="n"/>
      <c r="K735" s="93" t="n"/>
      <c r="L735" s="93" t="n"/>
      <c r="M735" s="93" t="n"/>
      <c r="N735" s="93" t="n"/>
      <c r="O735" s="93" t="n"/>
      <c r="P735" s="93" t="n"/>
      <c r="Q735" s="93" t="n"/>
      <c r="R735" s="93" t="n"/>
      <c r="S735" s="93" t="n"/>
      <c r="T735" s="93" t="n"/>
    </row>
    <row r="736" ht="12.75" customHeight="1" s="111">
      <c r="A736" s="93" t="n"/>
      <c r="B736" s="93" t="n"/>
      <c r="C736" s="93" t="n"/>
      <c r="D736" s="93" t="n"/>
      <c r="E736" s="93" t="n"/>
      <c r="F736" s="93" t="n"/>
      <c r="G736" s="93" t="n"/>
      <c r="H736" s="93" t="n"/>
      <c r="I736" s="93" t="n"/>
      <c r="J736" s="93" t="n"/>
      <c r="K736" s="93" t="n"/>
      <c r="L736" s="93" t="n"/>
      <c r="M736" s="93" t="n"/>
      <c r="N736" s="93" t="n"/>
      <c r="O736" s="93" t="n"/>
      <c r="P736" s="93" t="n"/>
      <c r="Q736" s="93" t="n"/>
      <c r="R736" s="93" t="n"/>
      <c r="S736" s="93" t="n"/>
      <c r="T736" s="93" t="n"/>
    </row>
    <row r="737" ht="12.75" customHeight="1" s="111">
      <c r="A737" s="93" t="n"/>
      <c r="B737" s="93" t="n"/>
      <c r="C737" s="93" t="n"/>
      <c r="D737" s="93" t="n"/>
      <c r="E737" s="93" t="n"/>
      <c r="F737" s="93" t="n"/>
      <c r="G737" s="93" t="n"/>
      <c r="H737" s="93" t="n"/>
      <c r="I737" s="93" t="n"/>
      <c r="J737" s="93" t="n"/>
      <c r="K737" s="93" t="n"/>
      <c r="L737" s="93" t="n"/>
      <c r="M737" s="93" t="n"/>
      <c r="N737" s="93" t="n"/>
      <c r="O737" s="93" t="n"/>
      <c r="P737" s="93" t="n"/>
      <c r="Q737" s="93" t="n"/>
      <c r="R737" s="93" t="n"/>
      <c r="S737" s="93" t="n"/>
      <c r="T737" s="93" t="n"/>
    </row>
    <row r="738" ht="12.75" customHeight="1" s="111">
      <c r="A738" s="93" t="n"/>
      <c r="B738" s="93" t="n"/>
      <c r="C738" s="93" t="n"/>
      <c r="D738" s="93" t="n"/>
      <c r="E738" s="93" t="n"/>
      <c r="F738" s="93" t="n"/>
      <c r="G738" s="93" t="n"/>
      <c r="H738" s="93" t="n"/>
      <c r="I738" s="93" t="n"/>
      <c r="J738" s="93" t="n"/>
      <c r="K738" s="93" t="n"/>
      <c r="L738" s="93" t="n"/>
      <c r="M738" s="93" t="n"/>
      <c r="N738" s="93" t="n"/>
      <c r="O738" s="93" t="n"/>
      <c r="P738" s="93" t="n"/>
      <c r="Q738" s="93" t="n"/>
      <c r="R738" s="93" t="n"/>
      <c r="S738" s="93" t="n"/>
      <c r="T738" s="93" t="n"/>
    </row>
    <row r="739" ht="12.75" customHeight="1" s="111">
      <c r="A739" s="93" t="n"/>
      <c r="B739" s="93" t="n"/>
      <c r="C739" s="93" t="n"/>
      <c r="D739" s="93" t="n"/>
      <c r="E739" s="93" t="n"/>
      <c r="F739" s="93" t="n"/>
      <c r="G739" s="93" t="n"/>
      <c r="H739" s="93" t="n"/>
      <c r="I739" s="93" t="n"/>
      <c r="J739" s="93" t="n"/>
      <c r="K739" s="93" t="n"/>
      <c r="L739" s="93" t="n"/>
      <c r="M739" s="93" t="n"/>
      <c r="N739" s="93" t="n"/>
      <c r="O739" s="93" t="n"/>
      <c r="P739" s="93" t="n"/>
      <c r="Q739" s="93" t="n"/>
      <c r="R739" s="93" t="n"/>
      <c r="S739" s="93" t="n"/>
      <c r="T739" s="93" t="n"/>
    </row>
    <row r="740" ht="12.75" customHeight="1" s="111">
      <c r="A740" s="93" t="n"/>
      <c r="B740" s="93" t="n"/>
      <c r="C740" s="93" t="n"/>
      <c r="D740" s="93" t="n"/>
      <c r="E740" s="93" t="n"/>
      <c r="F740" s="93" t="n"/>
      <c r="G740" s="93" t="n"/>
      <c r="H740" s="93" t="n"/>
      <c r="I740" s="93" t="n"/>
      <c r="J740" s="93" t="n"/>
      <c r="K740" s="93" t="n"/>
      <c r="L740" s="93" t="n"/>
      <c r="M740" s="93" t="n"/>
      <c r="N740" s="93" t="n"/>
      <c r="O740" s="93" t="n"/>
      <c r="P740" s="93" t="n"/>
      <c r="Q740" s="93" t="n"/>
      <c r="R740" s="93" t="n"/>
      <c r="S740" s="93" t="n"/>
      <c r="T740" s="93" t="n"/>
    </row>
    <row r="741" ht="12.75" customHeight="1" s="111">
      <c r="A741" s="93" t="n"/>
      <c r="B741" s="93" t="n"/>
      <c r="C741" s="93" t="n"/>
      <c r="D741" s="93" t="n"/>
      <c r="E741" s="93" t="n"/>
      <c r="F741" s="93" t="n"/>
      <c r="G741" s="93" t="n"/>
      <c r="H741" s="93" t="n"/>
      <c r="I741" s="93" t="n"/>
      <c r="J741" s="93" t="n"/>
      <c r="K741" s="93" t="n"/>
      <c r="L741" s="93" t="n"/>
      <c r="M741" s="93" t="n"/>
      <c r="N741" s="93" t="n"/>
      <c r="O741" s="93" t="n"/>
      <c r="P741" s="93" t="n"/>
      <c r="Q741" s="93" t="n"/>
      <c r="R741" s="93" t="n"/>
      <c r="S741" s="93" t="n"/>
      <c r="T741" s="93" t="n"/>
    </row>
    <row r="742" ht="12.75" customHeight="1" s="111">
      <c r="A742" s="93" t="n"/>
      <c r="B742" s="93" t="n"/>
      <c r="C742" s="93" t="n"/>
      <c r="D742" s="93" t="n"/>
      <c r="E742" s="93" t="n"/>
      <c r="F742" s="93" t="n"/>
      <c r="G742" s="93" t="n"/>
      <c r="H742" s="93" t="n"/>
      <c r="I742" s="93" t="n"/>
      <c r="J742" s="93" t="n"/>
      <c r="K742" s="93" t="n"/>
      <c r="L742" s="93" t="n"/>
      <c r="M742" s="93" t="n"/>
      <c r="N742" s="93" t="n"/>
      <c r="O742" s="93" t="n"/>
      <c r="P742" s="93" t="n"/>
      <c r="Q742" s="93" t="n"/>
      <c r="R742" s="93" t="n"/>
      <c r="S742" s="93" t="n"/>
      <c r="T742" s="93" t="n"/>
    </row>
    <row r="743" ht="12.75" customHeight="1" s="111">
      <c r="A743" s="93" t="n"/>
      <c r="B743" s="93" t="n"/>
      <c r="C743" s="93" t="n"/>
      <c r="D743" s="93" t="n"/>
      <c r="E743" s="93" t="n"/>
      <c r="F743" s="93" t="n"/>
      <c r="G743" s="93" t="n"/>
      <c r="H743" s="93" t="n"/>
      <c r="I743" s="93" t="n"/>
      <c r="J743" s="93" t="n"/>
      <c r="K743" s="93" t="n"/>
      <c r="L743" s="93" t="n"/>
      <c r="M743" s="93" t="n"/>
      <c r="N743" s="93" t="n"/>
      <c r="O743" s="93" t="n"/>
      <c r="P743" s="93" t="n"/>
      <c r="Q743" s="93" t="n"/>
      <c r="R743" s="93" t="n"/>
      <c r="S743" s="93" t="n"/>
      <c r="T743" s="93" t="n"/>
    </row>
    <row r="744" ht="12.75" customHeight="1" s="111">
      <c r="A744" s="93" t="n"/>
      <c r="B744" s="93" t="n"/>
      <c r="C744" s="93" t="n"/>
      <c r="D744" s="93" t="n"/>
      <c r="E744" s="93" t="n"/>
      <c r="F744" s="93" t="n"/>
      <c r="G744" s="93" t="n"/>
      <c r="H744" s="93" t="n"/>
      <c r="I744" s="93" t="n"/>
      <c r="J744" s="93" t="n"/>
      <c r="K744" s="93" t="n"/>
      <c r="L744" s="93" t="n"/>
      <c r="M744" s="93" t="n"/>
      <c r="N744" s="93" t="n"/>
      <c r="O744" s="93" t="n"/>
      <c r="P744" s="93" t="n"/>
      <c r="Q744" s="93" t="n"/>
      <c r="R744" s="93" t="n"/>
      <c r="S744" s="93" t="n"/>
      <c r="T744" s="93" t="n"/>
    </row>
    <row r="745" ht="12.75" customHeight="1" s="111">
      <c r="A745" s="93" t="n"/>
      <c r="B745" s="93" t="n"/>
      <c r="C745" s="93" t="n"/>
      <c r="D745" s="93" t="n"/>
      <c r="E745" s="93" t="n"/>
      <c r="F745" s="93" t="n"/>
      <c r="G745" s="93" t="n"/>
      <c r="H745" s="93" t="n"/>
      <c r="I745" s="93" t="n"/>
      <c r="J745" s="93" t="n"/>
      <c r="K745" s="93" t="n"/>
      <c r="L745" s="93" t="n"/>
      <c r="M745" s="93" t="n"/>
      <c r="N745" s="93" t="n"/>
      <c r="O745" s="93" t="n"/>
      <c r="P745" s="93" t="n"/>
      <c r="Q745" s="93" t="n"/>
      <c r="R745" s="93" t="n"/>
      <c r="S745" s="93" t="n"/>
      <c r="T745" s="93" t="n"/>
    </row>
    <row r="746" ht="12.75" customHeight="1" s="111">
      <c r="A746" s="93" t="n"/>
      <c r="B746" s="93" t="n"/>
      <c r="C746" s="93" t="n"/>
      <c r="D746" s="93" t="n"/>
      <c r="E746" s="93" t="n"/>
      <c r="F746" s="93" t="n"/>
      <c r="G746" s="93" t="n"/>
      <c r="H746" s="93" t="n"/>
      <c r="I746" s="93" t="n"/>
      <c r="J746" s="93" t="n"/>
      <c r="K746" s="93" t="n"/>
      <c r="L746" s="93" t="n"/>
      <c r="M746" s="93" t="n"/>
      <c r="N746" s="93" t="n"/>
      <c r="O746" s="93" t="n"/>
      <c r="P746" s="93" t="n"/>
      <c r="Q746" s="93" t="n"/>
      <c r="R746" s="93" t="n"/>
      <c r="S746" s="93" t="n"/>
      <c r="T746" s="93" t="n"/>
    </row>
    <row r="747" ht="12.75" customHeight="1" s="111">
      <c r="A747" s="93" t="n"/>
      <c r="B747" s="93" t="n"/>
      <c r="C747" s="93" t="n"/>
      <c r="D747" s="93" t="n"/>
      <c r="E747" s="93" t="n"/>
      <c r="F747" s="93" t="n"/>
      <c r="G747" s="93" t="n"/>
      <c r="H747" s="93" t="n"/>
      <c r="I747" s="93" t="n"/>
      <c r="J747" s="93" t="n"/>
      <c r="K747" s="93" t="n"/>
      <c r="L747" s="93" t="n"/>
      <c r="M747" s="93" t="n"/>
      <c r="N747" s="93" t="n"/>
      <c r="O747" s="93" t="n"/>
      <c r="P747" s="93" t="n"/>
      <c r="Q747" s="93" t="n"/>
      <c r="R747" s="93" t="n"/>
      <c r="S747" s="93" t="n"/>
      <c r="T747" s="93" t="n"/>
    </row>
    <row r="748" ht="12.75" customHeight="1" s="111">
      <c r="A748" s="93" t="n"/>
      <c r="B748" s="93" t="n"/>
      <c r="C748" s="93" t="n"/>
      <c r="D748" s="93" t="n"/>
      <c r="E748" s="93" t="n"/>
      <c r="F748" s="93" t="n"/>
      <c r="G748" s="93" t="n"/>
      <c r="H748" s="93" t="n"/>
      <c r="I748" s="93" t="n"/>
      <c r="J748" s="93" t="n"/>
      <c r="K748" s="93" t="n"/>
      <c r="L748" s="93" t="n"/>
      <c r="M748" s="93" t="n"/>
      <c r="N748" s="93" t="n"/>
      <c r="O748" s="93" t="n"/>
      <c r="P748" s="93" t="n"/>
      <c r="Q748" s="93" t="n"/>
      <c r="R748" s="93" t="n"/>
      <c r="S748" s="93" t="n"/>
      <c r="T748" s="93" t="n"/>
    </row>
    <row r="749" ht="12.75" customHeight="1" s="111">
      <c r="A749" s="93" t="n"/>
      <c r="B749" s="93" t="n"/>
      <c r="C749" s="93" t="n"/>
      <c r="D749" s="93" t="n"/>
      <c r="E749" s="93" t="n"/>
      <c r="F749" s="93" t="n"/>
      <c r="G749" s="93" t="n"/>
      <c r="H749" s="93" t="n"/>
      <c r="I749" s="93" t="n"/>
      <c r="J749" s="93" t="n"/>
      <c r="K749" s="93" t="n"/>
      <c r="L749" s="93" t="n"/>
      <c r="M749" s="93" t="n"/>
      <c r="N749" s="93" t="n"/>
      <c r="O749" s="93" t="n"/>
      <c r="P749" s="93" t="n"/>
      <c r="Q749" s="93" t="n"/>
      <c r="R749" s="93" t="n"/>
      <c r="S749" s="93" t="n"/>
      <c r="T749" s="93" t="n"/>
    </row>
    <row r="750" ht="12.75" customHeight="1" s="111">
      <c r="A750" s="93" t="n"/>
      <c r="B750" s="93" t="n"/>
      <c r="C750" s="93" t="n"/>
      <c r="D750" s="93" t="n"/>
      <c r="E750" s="93" t="n"/>
      <c r="F750" s="93" t="n"/>
      <c r="G750" s="93" t="n"/>
      <c r="H750" s="93" t="n"/>
      <c r="I750" s="93" t="n"/>
      <c r="J750" s="93" t="n"/>
      <c r="K750" s="93" t="n"/>
      <c r="L750" s="93" t="n"/>
      <c r="M750" s="93" t="n"/>
      <c r="N750" s="93" t="n"/>
      <c r="O750" s="93" t="n"/>
      <c r="P750" s="93" t="n"/>
      <c r="Q750" s="93" t="n"/>
      <c r="R750" s="93" t="n"/>
      <c r="S750" s="93" t="n"/>
      <c r="T750" s="93" t="n"/>
    </row>
    <row r="751" ht="12.75" customHeight="1" s="111">
      <c r="A751" s="93" t="n"/>
      <c r="B751" s="93" t="n"/>
      <c r="C751" s="93" t="n"/>
      <c r="D751" s="93" t="n"/>
      <c r="E751" s="93" t="n"/>
      <c r="F751" s="93" t="n"/>
      <c r="G751" s="93" t="n"/>
      <c r="H751" s="93" t="n"/>
      <c r="I751" s="93" t="n"/>
      <c r="J751" s="93" t="n"/>
      <c r="K751" s="93" t="n"/>
      <c r="L751" s="93" t="n"/>
      <c r="M751" s="93" t="n"/>
      <c r="N751" s="93" t="n"/>
      <c r="O751" s="93" t="n"/>
      <c r="P751" s="93" t="n"/>
      <c r="Q751" s="93" t="n"/>
      <c r="R751" s="93" t="n"/>
      <c r="S751" s="93" t="n"/>
      <c r="T751" s="93" t="n"/>
    </row>
    <row r="752" ht="12.75" customHeight="1" s="111">
      <c r="A752" s="93" t="n"/>
      <c r="B752" s="93" t="n"/>
      <c r="C752" s="93" t="n"/>
      <c r="D752" s="93" t="n"/>
      <c r="E752" s="93" t="n"/>
      <c r="F752" s="93" t="n"/>
      <c r="G752" s="93" t="n"/>
      <c r="H752" s="93" t="n"/>
      <c r="I752" s="93" t="n"/>
      <c r="J752" s="93" t="n"/>
      <c r="K752" s="93" t="n"/>
      <c r="L752" s="93" t="n"/>
      <c r="M752" s="93" t="n"/>
      <c r="N752" s="93" t="n"/>
      <c r="O752" s="93" t="n"/>
      <c r="P752" s="93" t="n"/>
      <c r="Q752" s="93" t="n"/>
      <c r="R752" s="93" t="n"/>
      <c r="S752" s="93" t="n"/>
      <c r="T752" s="93" t="n"/>
    </row>
    <row r="753" ht="12.75" customHeight="1" s="111">
      <c r="A753" s="93" t="n"/>
      <c r="B753" s="93" t="n"/>
      <c r="C753" s="93" t="n"/>
      <c r="D753" s="93" t="n"/>
      <c r="E753" s="93" t="n"/>
      <c r="F753" s="93" t="n"/>
      <c r="G753" s="93" t="n"/>
      <c r="H753" s="93" t="n"/>
      <c r="I753" s="93" t="n"/>
      <c r="J753" s="93" t="n"/>
      <c r="K753" s="93" t="n"/>
      <c r="L753" s="93" t="n"/>
      <c r="M753" s="93" t="n"/>
      <c r="N753" s="93" t="n"/>
      <c r="O753" s="93" t="n"/>
      <c r="P753" s="93" t="n"/>
      <c r="Q753" s="93" t="n"/>
      <c r="R753" s="93" t="n"/>
      <c r="S753" s="93" t="n"/>
      <c r="T753" s="93" t="n"/>
    </row>
    <row r="754" ht="12.75" customHeight="1" s="111">
      <c r="A754" s="93" t="n"/>
      <c r="B754" s="93" t="n"/>
      <c r="C754" s="93" t="n"/>
      <c r="D754" s="93" t="n"/>
      <c r="E754" s="93" t="n"/>
      <c r="F754" s="93" t="n"/>
      <c r="G754" s="93" t="n"/>
      <c r="H754" s="93" t="n"/>
      <c r="I754" s="93" t="n"/>
      <c r="J754" s="93" t="n"/>
      <c r="K754" s="93" t="n"/>
      <c r="L754" s="93" t="n"/>
      <c r="M754" s="93" t="n"/>
      <c r="N754" s="93" t="n"/>
      <c r="O754" s="93" t="n"/>
      <c r="P754" s="93" t="n"/>
      <c r="Q754" s="93" t="n"/>
      <c r="R754" s="93" t="n"/>
      <c r="S754" s="93" t="n"/>
      <c r="T754" s="93" t="n"/>
    </row>
    <row r="755" ht="12.75" customHeight="1" s="111">
      <c r="A755" s="93" t="n"/>
      <c r="B755" s="93" t="n"/>
      <c r="C755" s="93" t="n"/>
      <c r="D755" s="93" t="n"/>
      <c r="E755" s="93" t="n"/>
      <c r="F755" s="93" t="n"/>
      <c r="G755" s="93" t="n"/>
      <c r="H755" s="93" t="n"/>
      <c r="I755" s="93" t="n"/>
      <c r="J755" s="93" t="n"/>
      <c r="K755" s="93" t="n"/>
      <c r="L755" s="93" t="n"/>
      <c r="M755" s="93" t="n"/>
      <c r="N755" s="93" t="n"/>
      <c r="O755" s="93" t="n"/>
      <c r="P755" s="93" t="n"/>
      <c r="Q755" s="93" t="n"/>
      <c r="R755" s="93" t="n"/>
      <c r="S755" s="93" t="n"/>
      <c r="T755" s="93" t="n"/>
    </row>
    <row r="756" ht="12.75" customHeight="1" s="111">
      <c r="A756" s="93" t="n"/>
      <c r="B756" s="93" t="n"/>
      <c r="C756" s="93" t="n"/>
      <c r="D756" s="93" t="n"/>
      <c r="E756" s="93" t="n"/>
      <c r="F756" s="93" t="n"/>
      <c r="G756" s="93" t="n"/>
      <c r="H756" s="93" t="n"/>
      <c r="I756" s="93" t="n"/>
      <c r="J756" s="93" t="n"/>
      <c r="K756" s="93" t="n"/>
      <c r="L756" s="93" t="n"/>
      <c r="M756" s="93" t="n"/>
      <c r="N756" s="93" t="n"/>
      <c r="O756" s="93" t="n"/>
      <c r="P756" s="93" t="n"/>
      <c r="Q756" s="93" t="n"/>
      <c r="R756" s="93" t="n"/>
      <c r="S756" s="93" t="n"/>
      <c r="T756" s="93" t="n"/>
    </row>
    <row r="757" ht="12.75" customHeight="1" s="111">
      <c r="A757" s="93" t="n"/>
      <c r="B757" s="93" t="n"/>
      <c r="C757" s="93" t="n"/>
      <c r="D757" s="93" t="n"/>
      <c r="E757" s="93" t="n"/>
      <c r="F757" s="93" t="n"/>
      <c r="G757" s="93" t="n"/>
      <c r="H757" s="93" t="n"/>
      <c r="I757" s="93" t="n"/>
      <c r="J757" s="93" t="n"/>
      <c r="K757" s="93" t="n"/>
      <c r="L757" s="93" t="n"/>
      <c r="M757" s="93" t="n"/>
      <c r="N757" s="93" t="n"/>
      <c r="O757" s="93" t="n"/>
      <c r="P757" s="93" t="n"/>
      <c r="Q757" s="93" t="n"/>
      <c r="R757" s="93" t="n"/>
      <c r="S757" s="93" t="n"/>
      <c r="T757" s="93" t="n"/>
    </row>
    <row r="758" ht="12.75" customHeight="1" s="111">
      <c r="A758" s="93" t="n"/>
      <c r="B758" s="93" t="n"/>
      <c r="C758" s="93" t="n"/>
      <c r="D758" s="93" t="n"/>
      <c r="E758" s="93" t="n"/>
      <c r="F758" s="93" t="n"/>
      <c r="G758" s="93" t="n"/>
      <c r="H758" s="93" t="n"/>
      <c r="I758" s="93" t="n"/>
      <c r="J758" s="93" t="n"/>
      <c r="K758" s="93" t="n"/>
      <c r="L758" s="93" t="n"/>
      <c r="M758" s="93" t="n"/>
      <c r="N758" s="93" t="n"/>
      <c r="O758" s="93" t="n"/>
      <c r="P758" s="93" t="n"/>
      <c r="Q758" s="93" t="n"/>
      <c r="R758" s="93" t="n"/>
      <c r="S758" s="93" t="n"/>
      <c r="T758" s="93" t="n"/>
    </row>
    <row r="759" ht="12.75" customHeight="1" s="111">
      <c r="A759" s="93" t="n"/>
      <c r="B759" s="93" t="n"/>
      <c r="C759" s="93" t="n"/>
      <c r="D759" s="93" t="n"/>
      <c r="E759" s="93" t="n"/>
      <c r="F759" s="93" t="n"/>
      <c r="G759" s="93" t="n"/>
      <c r="H759" s="93" t="n"/>
      <c r="I759" s="93" t="n"/>
      <c r="J759" s="93" t="n"/>
      <c r="K759" s="93" t="n"/>
      <c r="L759" s="93" t="n"/>
      <c r="M759" s="93" t="n"/>
      <c r="N759" s="93" t="n"/>
      <c r="O759" s="93" t="n"/>
      <c r="P759" s="93" t="n"/>
      <c r="Q759" s="93" t="n"/>
      <c r="R759" s="93" t="n"/>
      <c r="S759" s="93" t="n"/>
      <c r="T759" s="93" t="n"/>
    </row>
    <row r="760" ht="12.75" customHeight="1" s="111">
      <c r="A760" s="93" t="n"/>
      <c r="B760" s="93" t="n"/>
      <c r="C760" s="93" t="n"/>
      <c r="D760" s="93" t="n"/>
      <c r="E760" s="93" t="n"/>
      <c r="F760" s="93" t="n"/>
      <c r="G760" s="93" t="n"/>
      <c r="H760" s="93" t="n"/>
      <c r="I760" s="93" t="n"/>
      <c r="J760" s="93" t="n"/>
      <c r="K760" s="93" t="n"/>
      <c r="L760" s="93" t="n"/>
      <c r="M760" s="93" t="n"/>
      <c r="N760" s="93" t="n"/>
      <c r="O760" s="93" t="n"/>
      <c r="P760" s="93" t="n"/>
      <c r="Q760" s="93" t="n"/>
      <c r="R760" s="93" t="n"/>
      <c r="S760" s="93" t="n"/>
      <c r="T760" s="93" t="n"/>
    </row>
    <row r="761" ht="12.75" customHeight="1" s="111">
      <c r="A761" s="93" t="n"/>
      <c r="B761" s="93" t="n"/>
      <c r="C761" s="93" t="n"/>
      <c r="D761" s="93" t="n"/>
      <c r="E761" s="93" t="n"/>
      <c r="F761" s="93" t="n"/>
      <c r="G761" s="93" t="n"/>
      <c r="H761" s="93" t="n"/>
      <c r="I761" s="93" t="n"/>
      <c r="J761" s="93" t="n"/>
      <c r="K761" s="93" t="n"/>
      <c r="L761" s="93" t="n"/>
      <c r="M761" s="93" t="n"/>
      <c r="N761" s="93" t="n"/>
      <c r="O761" s="93" t="n"/>
      <c r="P761" s="93" t="n"/>
      <c r="Q761" s="93" t="n"/>
      <c r="R761" s="93" t="n"/>
      <c r="S761" s="93" t="n"/>
      <c r="T761" s="93" t="n"/>
    </row>
    <row r="762" ht="12.75" customHeight="1" s="111">
      <c r="A762" s="93" t="n"/>
      <c r="B762" s="93" t="n"/>
      <c r="C762" s="93" t="n"/>
      <c r="D762" s="93" t="n"/>
      <c r="E762" s="93" t="n"/>
      <c r="F762" s="93" t="n"/>
      <c r="G762" s="93" t="n"/>
      <c r="H762" s="93" t="n"/>
      <c r="I762" s="93" t="n"/>
      <c r="J762" s="93" t="n"/>
      <c r="K762" s="93" t="n"/>
      <c r="L762" s="93" t="n"/>
      <c r="M762" s="93" t="n"/>
      <c r="N762" s="93" t="n"/>
      <c r="O762" s="93" t="n"/>
      <c r="P762" s="93" t="n"/>
      <c r="Q762" s="93" t="n"/>
      <c r="R762" s="93" t="n"/>
      <c r="S762" s="93" t="n"/>
      <c r="T762" s="93" t="n"/>
    </row>
    <row r="763" ht="12.75" customHeight="1" s="111">
      <c r="A763" s="93" t="n"/>
      <c r="B763" s="93" t="n"/>
      <c r="C763" s="93" t="n"/>
      <c r="D763" s="93" t="n"/>
      <c r="E763" s="93" t="n"/>
      <c r="F763" s="93" t="n"/>
      <c r="G763" s="93" t="n"/>
      <c r="H763" s="93" t="n"/>
      <c r="I763" s="93" t="n"/>
      <c r="J763" s="93" t="n"/>
      <c r="K763" s="93" t="n"/>
      <c r="L763" s="93" t="n"/>
      <c r="M763" s="93" t="n"/>
      <c r="N763" s="93" t="n"/>
      <c r="O763" s="93" t="n"/>
      <c r="P763" s="93" t="n"/>
      <c r="Q763" s="93" t="n"/>
      <c r="R763" s="93" t="n"/>
      <c r="S763" s="93" t="n"/>
      <c r="T763" s="93" t="n"/>
    </row>
    <row r="764" ht="12.75" customHeight="1" s="111">
      <c r="A764" s="93" t="n"/>
      <c r="B764" s="93" t="n"/>
      <c r="C764" s="93" t="n"/>
      <c r="D764" s="93" t="n"/>
      <c r="E764" s="93" t="n"/>
      <c r="F764" s="93" t="n"/>
      <c r="G764" s="93" t="n"/>
      <c r="H764" s="93" t="n"/>
      <c r="I764" s="93" t="n"/>
      <c r="J764" s="93" t="n"/>
      <c r="K764" s="93" t="n"/>
      <c r="L764" s="93" t="n"/>
      <c r="M764" s="93" t="n"/>
      <c r="N764" s="93" t="n"/>
      <c r="O764" s="93" t="n"/>
      <c r="P764" s="93" t="n"/>
      <c r="Q764" s="93" t="n"/>
      <c r="R764" s="93" t="n"/>
      <c r="S764" s="93" t="n"/>
      <c r="T764" s="93" t="n"/>
    </row>
    <row r="765" ht="12.75" customHeight="1" s="111">
      <c r="A765" s="93" t="n"/>
      <c r="B765" s="93" t="n"/>
      <c r="C765" s="93" t="n"/>
      <c r="D765" s="93" t="n"/>
      <c r="E765" s="93" t="n"/>
      <c r="F765" s="93" t="n"/>
      <c r="G765" s="93" t="n"/>
      <c r="H765" s="93" t="n"/>
      <c r="I765" s="93" t="n"/>
      <c r="J765" s="93" t="n"/>
      <c r="K765" s="93" t="n"/>
      <c r="L765" s="93" t="n"/>
      <c r="M765" s="93" t="n"/>
      <c r="N765" s="93" t="n"/>
      <c r="O765" s="93" t="n"/>
      <c r="P765" s="93" t="n"/>
      <c r="Q765" s="93" t="n"/>
      <c r="R765" s="93" t="n"/>
      <c r="S765" s="93" t="n"/>
      <c r="T765" s="93" t="n"/>
    </row>
    <row r="766" ht="12.75" customHeight="1" s="111">
      <c r="A766" s="93" t="n"/>
      <c r="B766" s="93" t="n"/>
      <c r="C766" s="93" t="n"/>
      <c r="D766" s="93" t="n"/>
      <c r="E766" s="93" t="n"/>
      <c r="F766" s="93" t="n"/>
      <c r="G766" s="93" t="n"/>
      <c r="H766" s="93" t="n"/>
      <c r="I766" s="93" t="n"/>
      <c r="J766" s="93" t="n"/>
      <c r="K766" s="93" t="n"/>
      <c r="L766" s="93" t="n"/>
      <c r="M766" s="93" t="n"/>
      <c r="N766" s="93" t="n"/>
      <c r="O766" s="93" t="n"/>
      <c r="P766" s="93" t="n"/>
      <c r="Q766" s="93" t="n"/>
      <c r="R766" s="93" t="n"/>
      <c r="S766" s="93" t="n"/>
      <c r="T766" s="93" t="n"/>
    </row>
    <row r="767" ht="12.75" customHeight="1" s="111">
      <c r="A767" s="93" t="n"/>
      <c r="B767" s="93" t="n"/>
      <c r="C767" s="93" t="n"/>
      <c r="D767" s="93" t="n"/>
      <c r="E767" s="93" t="n"/>
      <c r="F767" s="93" t="n"/>
      <c r="G767" s="93" t="n"/>
      <c r="H767" s="93" t="n"/>
      <c r="I767" s="93" t="n"/>
      <c r="J767" s="93" t="n"/>
      <c r="K767" s="93" t="n"/>
      <c r="L767" s="93" t="n"/>
      <c r="M767" s="93" t="n"/>
      <c r="N767" s="93" t="n"/>
      <c r="O767" s="93" t="n"/>
      <c r="P767" s="93" t="n"/>
      <c r="Q767" s="93" t="n"/>
      <c r="R767" s="93" t="n"/>
      <c r="S767" s="93" t="n"/>
      <c r="T767" s="93" t="n"/>
    </row>
    <row r="768" ht="12.75" customHeight="1" s="111">
      <c r="A768" s="93" t="n"/>
      <c r="B768" s="93" t="n"/>
      <c r="C768" s="93" t="n"/>
      <c r="D768" s="93" t="n"/>
      <c r="E768" s="93" t="n"/>
      <c r="F768" s="93" t="n"/>
      <c r="G768" s="93" t="n"/>
      <c r="H768" s="93" t="n"/>
      <c r="I768" s="93" t="n"/>
      <c r="J768" s="93" t="n"/>
      <c r="K768" s="93" t="n"/>
      <c r="L768" s="93" t="n"/>
      <c r="M768" s="93" t="n"/>
      <c r="N768" s="93" t="n"/>
      <c r="O768" s="93" t="n"/>
      <c r="P768" s="93" t="n"/>
      <c r="Q768" s="93" t="n"/>
      <c r="R768" s="93" t="n"/>
      <c r="S768" s="93" t="n"/>
      <c r="T768" s="93" t="n"/>
    </row>
    <row r="769" ht="12.75" customHeight="1" s="111">
      <c r="A769" s="93" t="n"/>
      <c r="B769" s="93" t="n"/>
      <c r="C769" s="93" t="n"/>
      <c r="D769" s="93" t="n"/>
      <c r="E769" s="93" t="n"/>
      <c r="F769" s="93" t="n"/>
      <c r="G769" s="93" t="n"/>
      <c r="H769" s="93" t="n"/>
      <c r="I769" s="93" t="n"/>
      <c r="J769" s="93" t="n"/>
      <c r="K769" s="93" t="n"/>
      <c r="L769" s="93" t="n"/>
      <c r="M769" s="93" t="n"/>
      <c r="N769" s="93" t="n"/>
      <c r="O769" s="93" t="n"/>
      <c r="P769" s="93" t="n"/>
      <c r="Q769" s="93" t="n"/>
      <c r="R769" s="93" t="n"/>
      <c r="S769" s="93" t="n"/>
      <c r="T769" s="93" t="n"/>
    </row>
    <row r="770" ht="12.75" customHeight="1" s="111">
      <c r="A770" s="93" t="n"/>
      <c r="B770" s="93" t="n"/>
      <c r="C770" s="93" t="n"/>
      <c r="D770" s="93" t="n"/>
      <c r="E770" s="93" t="n"/>
      <c r="F770" s="93" t="n"/>
      <c r="G770" s="93" t="n"/>
      <c r="H770" s="93" t="n"/>
      <c r="I770" s="93" t="n"/>
      <c r="J770" s="93" t="n"/>
      <c r="K770" s="93" t="n"/>
      <c r="L770" s="93" t="n"/>
      <c r="M770" s="93" t="n"/>
      <c r="N770" s="93" t="n"/>
      <c r="O770" s="93" t="n"/>
      <c r="P770" s="93" t="n"/>
      <c r="Q770" s="93" t="n"/>
      <c r="R770" s="93" t="n"/>
      <c r="S770" s="93" t="n"/>
      <c r="T770" s="93" t="n"/>
    </row>
    <row r="771" ht="12.75" customHeight="1" s="111">
      <c r="A771" s="93" t="n"/>
      <c r="B771" s="93" t="n"/>
      <c r="C771" s="93" t="n"/>
      <c r="D771" s="93" t="n"/>
      <c r="E771" s="93" t="n"/>
      <c r="F771" s="93" t="n"/>
      <c r="G771" s="93" t="n"/>
      <c r="H771" s="93" t="n"/>
      <c r="I771" s="93" t="n"/>
      <c r="J771" s="93" t="n"/>
      <c r="K771" s="93" t="n"/>
      <c r="L771" s="93" t="n"/>
      <c r="M771" s="93" t="n"/>
      <c r="N771" s="93" t="n"/>
      <c r="O771" s="93" t="n"/>
      <c r="P771" s="93" t="n"/>
      <c r="Q771" s="93" t="n"/>
      <c r="R771" s="93" t="n"/>
      <c r="S771" s="93" t="n"/>
      <c r="T771" s="93" t="n"/>
    </row>
    <row r="772" ht="12.75" customHeight="1" s="111">
      <c r="A772" s="93" t="n"/>
      <c r="B772" s="93" t="n"/>
      <c r="C772" s="93" t="n"/>
      <c r="D772" s="93" t="n"/>
      <c r="E772" s="93" t="n"/>
      <c r="F772" s="93" t="n"/>
      <c r="G772" s="93" t="n"/>
      <c r="H772" s="93" t="n"/>
      <c r="I772" s="93" t="n"/>
      <c r="J772" s="93" t="n"/>
      <c r="K772" s="93" t="n"/>
      <c r="L772" s="93" t="n"/>
      <c r="M772" s="93" t="n"/>
      <c r="N772" s="93" t="n"/>
      <c r="O772" s="93" t="n"/>
      <c r="P772" s="93" t="n"/>
      <c r="Q772" s="93" t="n"/>
      <c r="R772" s="93" t="n"/>
      <c r="S772" s="93" t="n"/>
      <c r="T772" s="93" t="n"/>
    </row>
    <row r="773" ht="12.75" customHeight="1" s="111">
      <c r="A773" s="93" t="n"/>
      <c r="B773" s="93" t="n"/>
      <c r="C773" s="93" t="n"/>
      <c r="D773" s="93" t="n"/>
      <c r="E773" s="93" t="n"/>
      <c r="F773" s="93" t="n"/>
      <c r="G773" s="93" t="n"/>
      <c r="H773" s="93" t="n"/>
      <c r="I773" s="93" t="n"/>
      <c r="J773" s="93" t="n"/>
      <c r="K773" s="93" t="n"/>
      <c r="L773" s="93" t="n"/>
      <c r="M773" s="93" t="n"/>
      <c r="N773" s="93" t="n"/>
      <c r="O773" s="93" t="n"/>
      <c r="P773" s="93" t="n"/>
      <c r="Q773" s="93" t="n"/>
      <c r="R773" s="93" t="n"/>
      <c r="S773" s="93" t="n"/>
      <c r="T773" s="93" t="n"/>
    </row>
    <row r="774" ht="12.75" customHeight="1" s="111">
      <c r="A774" s="93" t="n"/>
      <c r="B774" s="93" t="n"/>
      <c r="C774" s="93" t="n"/>
      <c r="D774" s="93" t="n"/>
      <c r="E774" s="93" t="n"/>
      <c r="F774" s="93" t="n"/>
      <c r="G774" s="93" t="n"/>
      <c r="H774" s="93" t="n"/>
      <c r="I774" s="93" t="n"/>
      <c r="J774" s="93" t="n"/>
      <c r="K774" s="93" t="n"/>
      <c r="L774" s="93" t="n"/>
      <c r="M774" s="93" t="n"/>
      <c r="N774" s="93" t="n"/>
      <c r="O774" s="93" t="n"/>
      <c r="P774" s="93" t="n"/>
      <c r="Q774" s="93" t="n"/>
      <c r="R774" s="93" t="n"/>
      <c r="S774" s="93" t="n"/>
      <c r="T774" s="93" t="n"/>
    </row>
    <row r="775" ht="12.75" customHeight="1" s="111">
      <c r="A775" s="93" t="n"/>
      <c r="B775" s="93" t="n"/>
      <c r="C775" s="93" t="n"/>
      <c r="D775" s="93" t="n"/>
      <c r="E775" s="93" t="n"/>
      <c r="F775" s="93" t="n"/>
      <c r="G775" s="93" t="n"/>
      <c r="H775" s="93" t="n"/>
      <c r="I775" s="93" t="n"/>
      <c r="J775" s="93" t="n"/>
      <c r="K775" s="93" t="n"/>
      <c r="L775" s="93" t="n"/>
      <c r="M775" s="93" t="n"/>
      <c r="N775" s="93" t="n"/>
      <c r="O775" s="93" t="n"/>
      <c r="P775" s="93" t="n"/>
      <c r="Q775" s="93" t="n"/>
      <c r="R775" s="93" t="n"/>
      <c r="S775" s="93" t="n"/>
      <c r="T775" s="93" t="n"/>
    </row>
    <row r="776" ht="12.75" customHeight="1" s="111">
      <c r="A776" s="93" t="n"/>
      <c r="B776" s="93" t="n"/>
      <c r="C776" s="93" t="n"/>
      <c r="D776" s="93" t="n"/>
      <c r="E776" s="93" t="n"/>
      <c r="F776" s="93" t="n"/>
      <c r="G776" s="93" t="n"/>
      <c r="H776" s="93" t="n"/>
      <c r="I776" s="93" t="n"/>
      <c r="J776" s="93" t="n"/>
      <c r="K776" s="93" t="n"/>
      <c r="L776" s="93" t="n"/>
      <c r="M776" s="93" t="n"/>
      <c r="N776" s="93" t="n"/>
      <c r="O776" s="93" t="n"/>
      <c r="P776" s="93" t="n"/>
      <c r="Q776" s="93" t="n"/>
      <c r="R776" s="93" t="n"/>
      <c r="S776" s="93" t="n"/>
      <c r="T776" s="93" t="n"/>
    </row>
    <row r="777" ht="12.75" customHeight="1" s="111">
      <c r="A777" s="93" t="n"/>
      <c r="B777" s="93" t="n"/>
      <c r="C777" s="93" t="n"/>
      <c r="D777" s="93" t="n"/>
      <c r="E777" s="93" t="n"/>
      <c r="F777" s="93" t="n"/>
      <c r="G777" s="93" t="n"/>
      <c r="H777" s="93" t="n"/>
      <c r="I777" s="93" t="n"/>
      <c r="J777" s="93" t="n"/>
      <c r="K777" s="93" t="n"/>
      <c r="L777" s="93" t="n"/>
      <c r="M777" s="93" t="n"/>
      <c r="N777" s="93" t="n"/>
      <c r="O777" s="93" t="n"/>
      <c r="P777" s="93" t="n"/>
      <c r="Q777" s="93" t="n"/>
      <c r="R777" s="93" t="n"/>
      <c r="S777" s="93" t="n"/>
      <c r="T777" s="93" t="n"/>
    </row>
    <row r="778" ht="12.75" customHeight="1" s="111">
      <c r="A778" s="93" t="n"/>
      <c r="B778" s="93" t="n"/>
      <c r="C778" s="93" t="n"/>
      <c r="D778" s="93" t="n"/>
      <c r="E778" s="93" t="n"/>
      <c r="F778" s="93" t="n"/>
      <c r="G778" s="93" t="n"/>
      <c r="H778" s="93" t="n"/>
      <c r="I778" s="93" t="n"/>
      <c r="J778" s="93" t="n"/>
      <c r="K778" s="93" t="n"/>
      <c r="L778" s="93" t="n"/>
      <c r="M778" s="93" t="n"/>
      <c r="N778" s="93" t="n"/>
      <c r="O778" s="93" t="n"/>
      <c r="P778" s="93" t="n"/>
      <c r="Q778" s="93" t="n"/>
      <c r="R778" s="93" t="n"/>
      <c r="S778" s="93" t="n"/>
      <c r="T778" s="93" t="n"/>
    </row>
    <row r="779" ht="12.75" customHeight="1" s="111">
      <c r="A779" s="93" t="n"/>
      <c r="B779" s="93" t="n"/>
      <c r="C779" s="93" t="n"/>
      <c r="D779" s="93" t="n"/>
      <c r="E779" s="93" t="n"/>
      <c r="F779" s="93" t="n"/>
      <c r="G779" s="93" t="n"/>
      <c r="H779" s="93" t="n"/>
      <c r="I779" s="93" t="n"/>
      <c r="J779" s="93" t="n"/>
      <c r="K779" s="93" t="n"/>
      <c r="L779" s="93" t="n"/>
      <c r="M779" s="93" t="n"/>
      <c r="N779" s="93" t="n"/>
      <c r="O779" s="93" t="n"/>
      <c r="P779" s="93" t="n"/>
      <c r="Q779" s="93" t="n"/>
      <c r="R779" s="93" t="n"/>
      <c r="S779" s="93" t="n"/>
      <c r="T779" s="93" t="n"/>
    </row>
    <row r="780" ht="12.75" customHeight="1" s="111">
      <c r="A780" s="93" t="n"/>
      <c r="B780" s="93" t="n"/>
      <c r="C780" s="93" t="n"/>
      <c r="D780" s="93" t="n"/>
      <c r="E780" s="93" t="n"/>
      <c r="F780" s="93" t="n"/>
      <c r="G780" s="93" t="n"/>
      <c r="H780" s="93" t="n"/>
      <c r="I780" s="93" t="n"/>
      <c r="J780" s="93" t="n"/>
      <c r="K780" s="93" t="n"/>
      <c r="L780" s="93" t="n"/>
      <c r="M780" s="93" t="n"/>
      <c r="N780" s="93" t="n"/>
      <c r="O780" s="93" t="n"/>
      <c r="P780" s="93" t="n"/>
      <c r="Q780" s="93" t="n"/>
      <c r="R780" s="93" t="n"/>
      <c r="S780" s="93" t="n"/>
      <c r="T780" s="93" t="n"/>
    </row>
    <row r="781" ht="12.75" customHeight="1" s="111">
      <c r="A781" s="93" t="n"/>
      <c r="B781" s="93" t="n"/>
      <c r="C781" s="93" t="n"/>
      <c r="D781" s="93" t="n"/>
      <c r="E781" s="93" t="n"/>
      <c r="F781" s="93" t="n"/>
      <c r="G781" s="93" t="n"/>
      <c r="H781" s="93" t="n"/>
      <c r="I781" s="93" t="n"/>
      <c r="J781" s="93" t="n"/>
      <c r="K781" s="93" t="n"/>
      <c r="L781" s="93" t="n"/>
      <c r="M781" s="93" t="n"/>
      <c r="N781" s="93" t="n"/>
      <c r="O781" s="93" t="n"/>
      <c r="P781" s="93" t="n"/>
      <c r="Q781" s="93" t="n"/>
      <c r="R781" s="93" t="n"/>
      <c r="S781" s="93" t="n"/>
      <c r="T781" s="93" t="n"/>
    </row>
    <row r="782" ht="12.75" customHeight="1" s="111">
      <c r="A782" s="93" t="n"/>
      <c r="B782" s="93" t="n"/>
      <c r="C782" s="93" t="n"/>
      <c r="D782" s="93" t="n"/>
      <c r="E782" s="93" t="n"/>
      <c r="F782" s="93" t="n"/>
      <c r="G782" s="93" t="n"/>
      <c r="H782" s="93" t="n"/>
      <c r="I782" s="93" t="n"/>
      <c r="J782" s="93" t="n"/>
      <c r="K782" s="93" t="n"/>
      <c r="L782" s="93" t="n"/>
      <c r="M782" s="93" t="n"/>
      <c r="N782" s="93" t="n"/>
      <c r="O782" s="93" t="n"/>
      <c r="P782" s="93" t="n"/>
      <c r="Q782" s="93" t="n"/>
      <c r="R782" s="93" t="n"/>
      <c r="S782" s="93" t="n"/>
      <c r="T782" s="93" t="n"/>
    </row>
    <row r="783" ht="12.75" customHeight="1" s="111">
      <c r="A783" s="93" t="n"/>
      <c r="B783" s="93" t="n"/>
      <c r="C783" s="93" t="n"/>
      <c r="D783" s="93" t="n"/>
      <c r="E783" s="93" t="n"/>
      <c r="F783" s="93" t="n"/>
      <c r="G783" s="93" t="n"/>
      <c r="H783" s="93" t="n"/>
      <c r="I783" s="93" t="n"/>
      <c r="J783" s="93" t="n"/>
      <c r="K783" s="93" t="n"/>
      <c r="L783" s="93" t="n"/>
      <c r="M783" s="93" t="n"/>
      <c r="N783" s="93" t="n"/>
      <c r="O783" s="93" t="n"/>
      <c r="P783" s="93" t="n"/>
      <c r="Q783" s="93" t="n"/>
      <c r="R783" s="93" t="n"/>
      <c r="S783" s="93" t="n"/>
      <c r="T783" s="93" t="n"/>
    </row>
    <row r="784" ht="12.75" customHeight="1" s="111">
      <c r="A784" s="93" t="n"/>
      <c r="B784" s="93" t="n"/>
      <c r="C784" s="93" t="n"/>
      <c r="D784" s="93" t="n"/>
      <c r="E784" s="93" t="n"/>
      <c r="F784" s="93" t="n"/>
      <c r="G784" s="93" t="n"/>
      <c r="H784" s="93" t="n"/>
      <c r="I784" s="93" t="n"/>
      <c r="J784" s="93" t="n"/>
      <c r="K784" s="93" t="n"/>
      <c r="L784" s="93" t="n"/>
      <c r="M784" s="93" t="n"/>
      <c r="N784" s="93" t="n"/>
      <c r="O784" s="93" t="n"/>
      <c r="P784" s="93" t="n"/>
      <c r="Q784" s="93" t="n"/>
      <c r="R784" s="93" t="n"/>
      <c r="S784" s="93" t="n"/>
      <c r="T784" s="93" t="n"/>
    </row>
    <row r="785" ht="12.75" customHeight="1" s="111">
      <c r="A785" s="93" t="n"/>
      <c r="B785" s="93" t="n"/>
      <c r="C785" s="93" t="n"/>
      <c r="D785" s="93" t="n"/>
      <c r="E785" s="93" t="n"/>
      <c r="F785" s="93" t="n"/>
      <c r="G785" s="93" t="n"/>
      <c r="H785" s="93" t="n"/>
      <c r="I785" s="93" t="n"/>
      <c r="J785" s="93" t="n"/>
      <c r="K785" s="93" t="n"/>
      <c r="L785" s="93" t="n"/>
      <c r="M785" s="93" t="n"/>
      <c r="N785" s="93" t="n"/>
      <c r="O785" s="93" t="n"/>
      <c r="P785" s="93" t="n"/>
      <c r="Q785" s="93" t="n"/>
      <c r="R785" s="93" t="n"/>
      <c r="S785" s="93" t="n"/>
      <c r="T785" s="93" t="n"/>
    </row>
    <row r="786" ht="12.75" customHeight="1" s="111">
      <c r="A786" s="93" t="n"/>
      <c r="B786" s="93" t="n"/>
      <c r="C786" s="93" t="n"/>
      <c r="D786" s="93" t="n"/>
      <c r="E786" s="93" t="n"/>
      <c r="F786" s="93" t="n"/>
      <c r="G786" s="93" t="n"/>
      <c r="H786" s="93" t="n"/>
      <c r="I786" s="93" t="n"/>
      <c r="J786" s="93" t="n"/>
      <c r="K786" s="93" t="n"/>
      <c r="L786" s="93" t="n"/>
      <c r="M786" s="93" t="n"/>
      <c r="N786" s="93" t="n"/>
      <c r="O786" s="93" t="n"/>
      <c r="P786" s="93" t="n"/>
      <c r="Q786" s="93" t="n"/>
      <c r="R786" s="93" t="n"/>
      <c r="S786" s="93" t="n"/>
      <c r="T786" s="93" t="n"/>
    </row>
    <row r="787" ht="12.75" customHeight="1" s="111">
      <c r="A787" s="93" t="n"/>
      <c r="B787" s="93" t="n"/>
      <c r="C787" s="93" t="n"/>
      <c r="D787" s="93" t="n"/>
      <c r="E787" s="93" t="n"/>
      <c r="F787" s="93" t="n"/>
      <c r="G787" s="93" t="n"/>
      <c r="H787" s="93" t="n"/>
      <c r="I787" s="93" t="n"/>
      <c r="J787" s="93" t="n"/>
      <c r="K787" s="93" t="n"/>
      <c r="L787" s="93" t="n"/>
      <c r="M787" s="93" t="n"/>
      <c r="N787" s="93" t="n"/>
      <c r="O787" s="93" t="n"/>
      <c r="P787" s="93" t="n"/>
      <c r="Q787" s="93" t="n"/>
      <c r="R787" s="93" t="n"/>
      <c r="S787" s="93" t="n"/>
      <c r="T787" s="93" t="n"/>
    </row>
    <row r="788" ht="12.75" customHeight="1" s="111">
      <c r="A788" s="93" t="n"/>
      <c r="B788" s="93" t="n"/>
      <c r="C788" s="93" t="n"/>
      <c r="D788" s="93" t="n"/>
      <c r="E788" s="93" t="n"/>
      <c r="F788" s="93" t="n"/>
      <c r="G788" s="93" t="n"/>
      <c r="H788" s="93" t="n"/>
      <c r="I788" s="93" t="n"/>
      <c r="J788" s="93" t="n"/>
      <c r="K788" s="93" t="n"/>
      <c r="L788" s="93" t="n"/>
      <c r="M788" s="93" t="n"/>
      <c r="N788" s="93" t="n"/>
      <c r="O788" s="93" t="n"/>
      <c r="P788" s="93" t="n"/>
      <c r="Q788" s="93" t="n"/>
      <c r="R788" s="93" t="n"/>
      <c r="S788" s="93" t="n"/>
      <c r="T788" s="93" t="n"/>
    </row>
    <row r="789" ht="12.75" customHeight="1" s="111">
      <c r="A789" s="93" t="n"/>
      <c r="B789" s="93" t="n"/>
      <c r="C789" s="93" t="n"/>
      <c r="D789" s="93" t="n"/>
      <c r="E789" s="93" t="n"/>
      <c r="F789" s="93" t="n"/>
      <c r="G789" s="93" t="n"/>
      <c r="H789" s="93" t="n"/>
      <c r="I789" s="93" t="n"/>
      <c r="J789" s="93" t="n"/>
      <c r="K789" s="93" t="n"/>
      <c r="L789" s="93" t="n"/>
      <c r="M789" s="93" t="n"/>
      <c r="N789" s="93" t="n"/>
      <c r="O789" s="93" t="n"/>
      <c r="P789" s="93" t="n"/>
      <c r="Q789" s="93" t="n"/>
      <c r="R789" s="93" t="n"/>
      <c r="S789" s="93" t="n"/>
      <c r="T789" s="93" t="n"/>
    </row>
    <row r="790" ht="12.75" customHeight="1" s="111">
      <c r="A790" s="93" t="n"/>
      <c r="B790" s="93" t="n"/>
      <c r="C790" s="93" t="n"/>
      <c r="D790" s="93" t="n"/>
      <c r="E790" s="93" t="n"/>
      <c r="F790" s="93" t="n"/>
      <c r="G790" s="93" t="n"/>
      <c r="H790" s="93" t="n"/>
      <c r="I790" s="93" t="n"/>
      <c r="J790" s="93" t="n"/>
      <c r="K790" s="93" t="n"/>
      <c r="L790" s="93" t="n"/>
      <c r="M790" s="93" t="n"/>
      <c r="N790" s="93" t="n"/>
      <c r="O790" s="93" t="n"/>
      <c r="P790" s="93" t="n"/>
      <c r="Q790" s="93" t="n"/>
      <c r="R790" s="93" t="n"/>
      <c r="S790" s="93" t="n"/>
      <c r="T790" s="93" t="n"/>
    </row>
    <row r="791" ht="12.75" customHeight="1" s="111">
      <c r="A791" s="93" t="n"/>
      <c r="B791" s="93" t="n"/>
      <c r="C791" s="93" t="n"/>
      <c r="D791" s="93" t="n"/>
      <c r="E791" s="93" t="n"/>
      <c r="F791" s="93" t="n"/>
      <c r="G791" s="93" t="n"/>
      <c r="H791" s="93" t="n"/>
      <c r="I791" s="93" t="n"/>
      <c r="J791" s="93" t="n"/>
      <c r="K791" s="93" t="n"/>
      <c r="L791" s="93" t="n"/>
      <c r="M791" s="93" t="n"/>
      <c r="N791" s="93" t="n"/>
      <c r="O791" s="93" t="n"/>
      <c r="P791" s="93" t="n"/>
      <c r="Q791" s="93" t="n"/>
      <c r="R791" s="93" t="n"/>
      <c r="S791" s="93" t="n"/>
      <c r="T791" s="93" t="n"/>
    </row>
    <row r="792" ht="12.75" customHeight="1" s="111">
      <c r="A792" s="93" t="n"/>
      <c r="B792" s="93" t="n"/>
      <c r="C792" s="93" t="n"/>
      <c r="D792" s="93" t="n"/>
      <c r="E792" s="93" t="n"/>
      <c r="F792" s="93" t="n"/>
      <c r="G792" s="93" t="n"/>
      <c r="H792" s="93" t="n"/>
      <c r="I792" s="93" t="n"/>
      <c r="J792" s="93" t="n"/>
      <c r="K792" s="93" t="n"/>
      <c r="L792" s="93" t="n"/>
      <c r="M792" s="93" t="n"/>
      <c r="N792" s="93" t="n"/>
      <c r="O792" s="93" t="n"/>
      <c r="P792" s="93" t="n"/>
      <c r="Q792" s="93" t="n"/>
      <c r="R792" s="93" t="n"/>
      <c r="S792" s="93" t="n"/>
      <c r="T792" s="93" t="n"/>
    </row>
    <row r="793" ht="12.75" customHeight="1" s="111">
      <c r="A793" s="93" t="n"/>
      <c r="B793" s="93" t="n"/>
      <c r="C793" s="93" t="n"/>
      <c r="D793" s="93" t="n"/>
      <c r="E793" s="93" t="n"/>
      <c r="F793" s="93" t="n"/>
      <c r="G793" s="93" t="n"/>
      <c r="H793" s="93" t="n"/>
      <c r="I793" s="93" t="n"/>
      <c r="J793" s="93" t="n"/>
      <c r="K793" s="93" t="n"/>
      <c r="L793" s="93" t="n"/>
      <c r="M793" s="93" t="n"/>
      <c r="N793" s="93" t="n"/>
      <c r="O793" s="93" t="n"/>
      <c r="P793" s="93" t="n"/>
      <c r="Q793" s="93" t="n"/>
      <c r="R793" s="93" t="n"/>
      <c r="S793" s="93" t="n"/>
      <c r="T793" s="93" t="n"/>
    </row>
    <row r="794" ht="12.75" customHeight="1" s="111">
      <c r="A794" s="93" t="n"/>
      <c r="B794" s="93" t="n"/>
      <c r="C794" s="93" t="n"/>
      <c r="D794" s="93" t="n"/>
      <c r="E794" s="93" t="n"/>
      <c r="F794" s="93" t="n"/>
      <c r="G794" s="93" t="n"/>
      <c r="H794" s="93" t="n"/>
      <c r="I794" s="93" t="n"/>
      <c r="J794" s="93" t="n"/>
      <c r="K794" s="93" t="n"/>
      <c r="L794" s="93" t="n"/>
      <c r="M794" s="93" t="n"/>
      <c r="N794" s="93" t="n"/>
      <c r="O794" s="93" t="n"/>
      <c r="P794" s="93" t="n"/>
      <c r="Q794" s="93" t="n"/>
      <c r="R794" s="93" t="n"/>
      <c r="S794" s="93" t="n"/>
      <c r="T794" s="93" t="n"/>
    </row>
    <row r="795" ht="12.75" customHeight="1" s="111">
      <c r="A795" s="93" t="n"/>
      <c r="B795" s="93" t="n"/>
      <c r="C795" s="93" t="n"/>
      <c r="D795" s="93" t="n"/>
      <c r="E795" s="93" t="n"/>
      <c r="F795" s="93" t="n"/>
      <c r="G795" s="93" t="n"/>
      <c r="H795" s="93" t="n"/>
      <c r="I795" s="93" t="n"/>
      <c r="J795" s="93" t="n"/>
      <c r="K795" s="93" t="n"/>
      <c r="L795" s="93" t="n"/>
      <c r="M795" s="93" t="n"/>
      <c r="N795" s="93" t="n"/>
      <c r="O795" s="93" t="n"/>
      <c r="P795" s="93" t="n"/>
      <c r="Q795" s="93" t="n"/>
      <c r="R795" s="93" t="n"/>
      <c r="S795" s="93" t="n"/>
      <c r="T795" s="93" t="n"/>
    </row>
    <row r="796" ht="12.75" customHeight="1" s="111">
      <c r="A796" s="93" t="n"/>
      <c r="B796" s="93" t="n"/>
      <c r="C796" s="93" t="n"/>
      <c r="D796" s="93" t="n"/>
      <c r="E796" s="93" t="n"/>
      <c r="F796" s="93" t="n"/>
      <c r="G796" s="93" t="n"/>
      <c r="H796" s="93" t="n"/>
      <c r="I796" s="93" t="n"/>
      <c r="J796" s="93" t="n"/>
      <c r="K796" s="93" t="n"/>
      <c r="L796" s="93" t="n"/>
      <c r="M796" s="93" t="n"/>
      <c r="N796" s="93" t="n"/>
      <c r="O796" s="93" t="n"/>
      <c r="P796" s="93" t="n"/>
      <c r="Q796" s="93" t="n"/>
      <c r="R796" s="93" t="n"/>
      <c r="S796" s="93" t="n"/>
      <c r="T796" s="93" t="n"/>
    </row>
    <row r="797" ht="12.75" customHeight="1" s="111">
      <c r="A797" s="93" t="n"/>
      <c r="B797" s="93" t="n"/>
      <c r="C797" s="93" t="n"/>
      <c r="D797" s="93" t="n"/>
      <c r="E797" s="93" t="n"/>
      <c r="F797" s="93" t="n"/>
      <c r="G797" s="93" t="n"/>
      <c r="H797" s="93" t="n"/>
      <c r="I797" s="93" t="n"/>
      <c r="J797" s="93" t="n"/>
      <c r="K797" s="93" t="n"/>
      <c r="L797" s="93" t="n"/>
      <c r="M797" s="93" t="n"/>
      <c r="N797" s="93" t="n"/>
      <c r="O797" s="93" t="n"/>
      <c r="P797" s="93" t="n"/>
      <c r="Q797" s="93" t="n"/>
      <c r="R797" s="93" t="n"/>
      <c r="S797" s="93" t="n"/>
      <c r="T797" s="93" t="n"/>
    </row>
    <row r="798" ht="12.75" customHeight="1" s="111">
      <c r="A798" s="93" t="n"/>
      <c r="B798" s="93" t="n"/>
      <c r="C798" s="93" t="n"/>
      <c r="D798" s="93" t="n"/>
      <c r="E798" s="93" t="n"/>
      <c r="F798" s="93" t="n"/>
      <c r="G798" s="93" t="n"/>
      <c r="H798" s="93" t="n"/>
      <c r="I798" s="93" t="n"/>
      <c r="J798" s="93" t="n"/>
      <c r="K798" s="93" t="n"/>
      <c r="L798" s="93" t="n"/>
      <c r="M798" s="93" t="n"/>
      <c r="N798" s="93" t="n"/>
      <c r="O798" s="93" t="n"/>
      <c r="P798" s="93" t="n"/>
      <c r="Q798" s="93" t="n"/>
      <c r="R798" s="93" t="n"/>
      <c r="S798" s="93" t="n"/>
      <c r="T798" s="93" t="n"/>
    </row>
    <row r="799" ht="12.75" customHeight="1" s="111">
      <c r="A799" s="93" t="n"/>
      <c r="B799" s="93" t="n"/>
      <c r="C799" s="93" t="n"/>
      <c r="D799" s="93" t="n"/>
      <c r="E799" s="93" t="n"/>
      <c r="F799" s="93" t="n"/>
      <c r="G799" s="93" t="n"/>
      <c r="H799" s="93" t="n"/>
      <c r="I799" s="93" t="n"/>
      <c r="J799" s="93" t="n"/>
      <c r="K799" s="93" t="n"/>
      <c r="L799" s="93" t="n"/>
      <c r="M799" s="93" t="n"/>
      <c r="N799" s="93" t="n"/>
      <c r="O799" s="93" t="n"/>
      <c r="P799" s="93" t="n"/>
      <c r="Q799" s="93" t="n"/>
      <c r="R799" s="93" t="n"/>
      <c r="S799" s="93" t="n"/>
      <c r="T799" s="93" t="n"/>
    </row>
    <row r="800" ht="12.75" customHeight="1" s="111">
      <c r="A800" s="93" t="n"/>
      <c r="B800" s="93" t="n"/>
      <c r="C800" s="93" t="n"/>
      <c r="D800" s="93" t="n"/>
      <c r="E800" s="93" t="n"/>
      <c r="F800" s="93" t="n"/>
      <c r="G800" s="93" t="n"/>
      <c r="H800" s="93" t="n"/>
      <c r="I800" s="93" t="n"/>
      <c r="J800" s="93" t="n"/>
      <c r="K800" s="93" t="n"/>
      <c r="L800" s="93" t="n"/>
      <c r="M800" s="93" t="n"/>
      <c r="N800" s="93" t="n"/>
      <c r="O800" s="93" t="n"/>
      <c r="P800" s="93" t="n"/>
      <c r="Q800" s="93" t="n"/>
      <c r="R800" s="93" t="n"/>
      <c r="S800" s="93" t="n"/>
      <c r="T800" s="93" t="n"/>
    </row>
    <row r="801" ht="12.75" customHeight="1" s="111">
      <c r="A801" s="93" t="n"/>
      <c r="B801" s="93" t="n"/>
      <c r="C801" s="93" t="n"/>
      <c r="D801" s="93" t="n"/>
      <c r="E801" s="93" t="n"/>
      <c r="F801" s="93" t="n"/>
      <c r="G801" s="93" t="n"/>
      <c r="H801" s="93" t="n"/>
      <c r="I801" s="93" t="n"/>
      <c r="J801" s="93" t="n"/>
      <c r="K801" s="93" t="n"/>
      <c r="L801" s="93" t="n"/>
      <c r="M801" s="93" t="n"/>
      <c r="N801" s="93" t="n"/>
      <c r="O801" s="93" t="n"/>
      <c r="P801" s="93" t="n"/>
      <c r="Q801" s="93" t="n"/>
      <c r="R801" s="93" t="n"/>
      <c r="S801" s="93" t="n"/>
      <c r="T801" s="93" t="n"/>
    </row>
    <row r="802" ht="12.75" customHeight="1" s="111">
      <c r="A802" s="93" t="n"/>
      <c r="B802" s="93" t="n"/>
      <c r="C802" s="93" t="n"/>
      <c r="D802" s="93" t="n"/>
      <c r="E802" s="93" t="n"/>
      <c r="F802" s="93" t="n"/>
      <c r="G802" s="93" t="n"/>
      <c r="H802" s="93" t="n"/>
      <c r="I802" s="93" t="n"/>
      <c r="J802" s="93" t="n"/>
      <c r="K802" s="93" t="n"/>
      <c r="L802" s="93" t="n"/>
      <c r="M802" s="93" t="n"/>
      <c r="N802" s="93" t="n"/>
      <c r="O802" s="93" t="n"/>
      <c r="P802" s="93" t="n"/>
      <c r="Q802" s="93" t="n"/>
      <c r="R802" s="93" t="n"/>
      <c r="S802" s="93" t="n"/>
      <c r="T802" s="93" t="n"/>
    </row>
    <row r="803" ht="12.75" customHeight="1" s="111">
      <c r="A803" s="93" t="n"/>
      <c r="B803" s="93" t="n"/>
      <c r="C803" s="93" t="n"/>
      <c r="D803" s="93" t="n"/>
      <c r="E803" s="93" t="n"/>
      <c r="F803" s="93" t="n"/>
      <c r="G803" s="93" t="n"/>
      <c r="H803" s="93" t="n"/>
      <c r="I803" s="93" t="n"/>
      <c r="J803" s="93" t="n"/>
      <c r="K803" s="93" t="n"/>
      <c r="L803" s="93" t="n"/>
      <c r="M803" s="93" t="n"/>
      <c r="N803" s="93" t="n"/>
      <c r="O803" s="93" t="n"/>
      <c r="P803" s="93" t="n"/>
      <c r="Q803" s="93" t="n"/>
      <c r="R803" s="93" t="n"/>
      <c r="S803" s="93" t="n"/>
      <c r="T803" s="93" t="n"/>
    </row>
    <row r="804" ht="12.75" customHeight="1" s="111">
      <c r="A804" s="93" t="n"/>
      <c r="B804" s="93" t="n"/>
      <c r="C804" s="93" t="n"/>
      <c r="D804" s="93" t="n"/>
      <c r="E804" s="93" t="n"/>
      <c r="F804" s="93" t="n"/>
      <c r="G804" s="93" t="n"/>
      <c r="H804" s="93" t="n"/>
      <c r="I804" s="93" t="n"/>
      <c r="J804" s="93" t="n"/>
      <c r="K804" s="93" t="n"/>
      <c r="L804" s="93" t="n"/>
      <c r="M804" s="93" t="n"/>
      <c r="N804" s="93" t="n"/>
      <c r="O804" s="93" t="n"/>
      <c r="P804" s="93" t="n"/>
      <c r="Q804" s="93" t="n"/>
      <c r="R804" s="93" t="n"/>
      <c r="S804" s="93" t="n"/>
      <c r="T804" s="93" t="n"/>
    </row>
    <row r="805" ht="12.75" customHeight="1" s="111">
      <c r="A805" s="93" t="n"/>
      <c r="B805" s="93" t="n"/>
      <c r="C805" s="93" t="n"/>
      <c r="D805" s="93" t="n"/>
      <c r="E805" s="93" t="n"/>
      <c r="F805" s="93" t="n"/>
      <c r="G805" s="93" t="n"/>
      <c r="H805" s="93" t="n"/>
      <c r="I805" s="93" t="n"/>
      <c r="J805" s="93" t="n"/>
      <c r="K805" s="93" t="n"/>
      <c r="L805" s="93" t="n"/>
      <c r="M805" s="93" t="n"/>
      <c r="N805" s="93" t="n"/>
      <c r="O805" s="93" t="n"/>
      <c r="P805" s="93" t="n"/>
      <c r="Q805" s="93" t="n"/>
      <c r="R805" s="93" t="n"/>
      <c r="S805" s="93" t="n"/>
      <c r="T805" s="93" t="n"/>
    </row>
    <row r="806" ht="12.75" customHeight="1" s="111">
      <c r="A806" s="93" t="n"/>
      <c r="B806" s="93" t="n"/>
      <c r="C806" s="93" t="n"/>
      <c r="D806" s="93" t="n"/>
      <c r="E806" s="93" t="n"/>
      <c r="F806" s="93" t="n"/>
      <c r="G806" s="93" t="n"/>
      <c r="H806" s="93" t="n"/>
      <c r="I806" s="93" t="n"/>
      <c r="J806" s="93" t="n"/>
      <c r="K806" s="93" t="n"/>
      <c r="L806" s="93" t="n"/>
      <c r="M806" s="93" t="n"/>
      <c r="N806" s="93" t="n"/>
      <c r="O806" s="93" t="n"/>
      <c r="P806" s="93" t="n"/>
      <c r="Q806" s="93" t="n"/>
      <c r="R806" s="93" t="n"/>
      <c r="S806" s="93" t="n"/>
      <c r="T806" s="93" t="n"/>
    </row>
    <row r="807" ht="12.75" customHeight="1" s="111">
      <c r="A807" s="93" t="n"/>
      <c r="B807" s="93" t="n"/>
      <c r="C807" s="93" t="n"/>
      <c r="D807" s="93" t="n"/>
      <c r="E807" s="93" t="n"/>
      <c r="F807" s="93" t="n"/>
      <c r="G807" s="93" t="n"/>
      <c r="H807" s="93" t="n"/>
      <c r="I807" s="93" t="n"/>
      <c r="J807" s="93" t="n"/>
      <c r="K807" s="93" t="n"/>
      <c r="L807" s="93" t="n"/>
      <c r="M807" s="93" t="n"/>
      <c r="N807" s="93" t="n"/>
      <c r="O807" s="93" t="n"/>
      <c r="P807" s="93" t="n"/>
      <c r="Q807" s="93" t="n"/>
      <c r="R807" s="93" t="n"/>
      <c r="S807" s="93" t="n"/>
      <c r="T807" s="93" t="n"/>
    </row>
    <row r="808" ht="12.75" customHeight="1" s="111">
      <c r="A808" s="93" t="n"/>
      <c r="B808" s="93" t="n"/>
      <c r="C808" s="93" t="n"/>
      <c r="D808" s="93" t="n"/>
      <c r="E808" s="93" t="n"/>
      <c r="F808" s="93" t="n"/>
      <c r="G808" s="93" t="n"/>
      <c r="H808" s="93" t="n"/>
      <c r="I808" s="93" t="n"/>
      <c r="J808" s="93" t="n"/>
      <c r="K808" s="93" t="n"/>
      <c r="L808" s="93" t="n"/>
      <c r="M808" s="93" t="n"/>
      <c r="N808" s="93" t="n"/>
      <c r="O808" s="93" t="n"/>
      <c r="P808" s="93" t="n"/>
      <c r="Q808" s="93" t="n"/>
      <c r="R808" s="93" t="n"/>
      <c r="S808" s="93" t="n"/>
      <c r="T808" s="93" t="n"/>
    </row>
    <row r="809" ht="12.75" customHeight="1" s="111">
      <c r="A809" s="93" t="n"/>
      <c r="B809" s="93" t="n"/>
      <c r="C809" s="93" t="n"/>
      <c r="D809" s="93" t="n"/>
      <c r="E809" s="93" t="n"/>
      <c r="F809" s="93" t="n"/>
      <c r="G809" s="93" t="n"/>
      <c r="H809" s="93" t="n"/>
      <c r="I809" s="93" t="n"/>
      <c r="J809" s="93" t="n"/>
      <c r="K809" s="93" t="n"/>
      <c r="L809" s="93" t="n"/>
      <c r="M809" s="93" t="n"/>
      <c r="N809" s="93" t="n"/>
      <c r="O809" s="93" t="n"/>
      <c r="P809" s="93" t="n"/>
      <c r="Q809" s="93" t="n"/>
      <c r="R809" s="93" t="n"/>
      <c r="S809" s="93" t="n"/>
      <c r="T809" s="93" t="n"/>
    </row>
    <row r="810" ht="12.75" customHeight="1" s="111">
      <c r="A810" s="93" t="n"/>
      <c r="B810" s="93" t="n"/>
      <c r="C810" s="93" t="n"/>
      <c r="D810" s="93" t="n"/>
      <c r="E810" s="93" t="n"/>
      <c r="F810" s="93" t="n"/>
      <c r="G810" s="93" t="n"/>
      <c r="H810" s="93" t="n"/>
      <c r="I810" s="93" t="n"/>
      <c r="J810" s="93" t="n"/>
      <c r="K810" s="93" t="n"/>
      <c r="L810" s="93" t="n"/>
      <c r="M810" s="93" t="n"/>
      <c r="N810" s="93" t="n"/>
      <c r="O810" s="93" t="n"/>
      <c r="P810" s="93" t="n"/>
      <c r="Q810" s="93" t="n"/>
      <c r="R810" s="93" t="n"/>
      <c r="S810" s="93" t="n"/>
      <c r="T810" s="93" t="n"/>
    </row>
    <row r="811" ht="12.75" customHeight="1" s="111">
      <c r="A811" s="93" t="n"/>
      <c r="B811" s="93" t="n"/>
      <c r="C811" s="93" t="n"/>
      <c r="D811" s="93" t="n"/>
      <c r="E811" s="93" t="n"/>
      <c r="F811" s="93" t="n"/>
      <c r="G811" s="93" t="n"/>
      <c r="H811" s="93" t="n"/>
      <c r="I811" s="93" t="n"/>
      <c r="J811" s="93" t="n"/>
      <c r="K811" s="93" t="n"/>
      <c r="L811" s="93" t="n"/>
      <c r="M811" s="93" t="n"/>
      <c r="N811" s="93" t="n"/>
      <c r="O811" s="93" t="n"/>
      <c r="P811" s="93" t="n"/>
      <c r="Q811" s="93" t="n"/>
      <c r="R811" s="93" t="n"/>
      <c r="S811" s="93" t="n"/>
      <c r="T811" s="93" t="n"/>
    </row>
    <row r="812" ht="12.75" customHeight="1" s="111">
      <c r="A812" s="93" t="n"/>
      <c r="B812" s="93" t="n"/>
      <c r="C812" s="93" t="n"/>
      <c r="D812" s="93" t="n"/>
      <c r="E812" s="93" t="n"/>
      <c r="F812" s="93" t="n"/>
      <c r="G812" s="93" t="n"/>
      <c r="H812" s="93" t="n"/>
      <c r="I812" s="93" t="n"/>
      <c r="J812" s="93" t="n"/>
      <c r="K812" s="93" t="n"/>
      <c r="L812" s="93" t="n"/>
      <c r="M812" s="93" t="n"/>
      <c r="N812" s="93" t="n"/>
      <c r="O812" s="93" t="n"/>
      <c r="P812" s="93" t="n"/>
      <c r="Q812" s="93" t="n"/>
      <c r="R812" s="93" t="n"/>
      <c r="S812" s="93" t="n"/>
      <c r="T812" s="93" t="n"/>
    </row>
    <row r="813" ht="12.75" customHeight="1" s="111">
      <c r="A813" s="93" t="n"/>
      <c r="B813" s="93" t="n"/>
      <c r="C813" s="93" t="n"/>
      <c r="D813" s="93" t="n"/>
      <c r="E813" s="93" t="n"/>
      <c r="F813" s="93" t="n"/>
      <c r="G813" s="93" t="n"/>
      <c r="H813" s="93" t="n"/>
      <c r="I813" s="93" t="n"/>
      <c r="J813" s="93" t="n"/>
      <c r="K813" s="93" t="n"/>
      <c r="L813" s="93" t="n"/>
      <c r="M813" s="93" t="n"/>
      <c r="N813" s="93" t="n"/>
      <c r="O813" s="93" t="n"/>
      <c r="P813" s="93" t="n"/>
      <c r="Q813" s="93" t="n"/>
      <c r="R813" s="93" t="n"/>
      <c r="S813" s="93" t="n"/>
      <c r="T813" s="93" t="n"/>
    </row>
    <row r="814" ht="12.75" customHeight="1" s="111">
      <c r="A814" s="93" t="n"/>
      <c r="B814" s="93" t="n"/>
      <c r="C814" s="93" t="n"/>
      <c r="D814" s="93" t="n"/>
      <c r="E814" s="93" t="n"/>
      <c r="F814" s="93" t="n"/>
      <c r="G814" s="93" t="n"/>
      <c r="H814" s="93" t="n"/>
      <c r="I814" s="93" t="n"/>
      <c r="J814" s="93" t="n"/>
      <c r="K814" s="93" t="n"/>
      <c r="L814" s="93" t="n"/>
      <c r="M814" s="93" t="n"/>
      <c r="N814" s="93" t="n"/>
      <c r="O814" s="93" t="n"/>
      <c r="P814" s="93" t="n"/>
      <c r="Q814" s="93" t="n"/>
      <c r="R814" s="93" t="n"/>
      <c r="S814" s="93" t="n"/>
      <c r="T814" s="93" t="n"/>
    </row>
    <row r="815" ht="12.75" customHeight="1" s="111">
      <c r="A815" s="93" t="n"/>
      <c r="B815" s="93" t="n"/>
      <c r="C815" s="93" t="n"/>
      <c r="D815" s="93" t="n"/>
      <c r="E815" s="93" t="n"/>
      <c r="F815" s="93" t="n"/>
      <c r="G815" s="93" t="n"/>
      <c r="H815" s="93" t="n"/>
      <c r="I815" s="93" t="n"/>
      <c r="J815" s="93" t="n"/>
      <c r="K815" s="93" t="n"/>
      <c r="L815" s="93" t="n"/>
      <c r="M815" s="93" t="n"/>
      <c r="N815" s="93" t="n"/>
      <c r="O815" s="93" t="n"/>
      <c r="P815" s="93" t="n"/>
      <c r="Q815" s="93" t="n"/>
      <c r="R815" s="93" t="n"/>
      <c r="S815" s="93" t="n"/>
      <c r="T815" s="93" t="n"/>
    </row>
    <row r="816" ht="12.75" customHeight="1" s="111">
      <c r="A816" s="93" t="n"/>
      <c r="B816" s="93" t="n"/>
      <c r="C816" s="93" t="n"/>
      <c r="D816" s="93" t="n"/>
      <c r="E816" s="93" t="n"/>
      <c r="F816" s="93" t="n"/>
      <c r="G816" s="93" t="n"/>
      <c r="H816" s="93" t="n"/>
      <c r="I816" s="93" t="n"/>
      <c r="J816" s="93" t="n"/>
      <c r="K816" s="93" t="n"/>
      <c r="L816" s="93" t="n"/>
      <c r="M816" s="93" t="n"/>
      <c r="N816" s="93" t="n"/>
      <c r="O816" s="93" t="n"/>
      <c r="P816" s="93" t="n"/>
      <c r="Q816" s="93" t="n"/>
      <c r="R816" s="93" t="n"/>
      <c r="S816" s="93" t="n"/>
      <c r="T816" s="93" t="n"/>
    </row>
    <row r="817" ht="12.75" customHeight="1" s="111">
      <c r="A817" s="93" t="n"/>
      <c r="B817" s="93" t="n"/>
      <c r="C817" s="93" t="n"/>
      <c r="D817" s="93" t="n"/>
      <c r="E817" s="93" t="n"/>
      <c r="F817" s="93" t="n"/>
      <c r="G817" s="93" t="n"/>
      <c r="H817" s="93" t="n"/>
      <c r="I817" s="93" t="n"/>
      <c r="J817" s="93" t="n"/>
      <c r="K817" s="93" t="n"/>
      <c r="L817" s="93" t="n"/>
      <c r="M817" s="93" t="n"/>
      <c r="N817" s="93" t="n"/>
      <c r="O817" s="93" t="n"/>
      <c r="P817" s="93" t="n"/>
      <c r="Q817" s="93" t="n"/>
      <c r="R817" s="93" t="n"/>
      <c r="S817" s="93" t="n"/>
      <c r="T817" s="93" t="n"/>
    </row>
    <row r="818" ht="12.75" customHeight="1" s="111">
      <c r="A818" s="93" t="n"/>
      <c r="B818" s="93" t="n"/>
      <c r="C818" s="93" t="n"/>
      <c r="D818" s="93" t="n"/>
      <c r="E818" s="93" t="n"/>
      <c r="F818" s="93" t="n"/>
      <c r="G818" s="93" t="n"/>
      <c r="H818" s="93" t="n"/>
      <c r="I818" s="93" t="n"/>
      <c r="J818" s="93" t="n"/>
      <c r="K818" s="93" t="n"/>
      <c r="L818" s="93" t="n"/>
      <c r="M818" s="93" t="n"/>
      <c r="N818" s="93" t="n"/>
      <c r="O818" s="93" t="n"/>
      <c r="P818" s="93" t="n"/>
      <c r="Q818" s="93" t="n"/>
      <c r="R818" s="93" t="n"/>
      <c r="S818" s="93" t="n"/>
      <c r="T818" s="93" t="n"/>
    </row>
    <row r="819" ht="12.75" customHeight="1" s="111">
      <c r="A819" s="93" t="n"/>
      <c r="B819" s="93" t="n"/>
      <c r="C819" s="93" t="n"/>
      <c r="D819" s="93" t="n"/>
      <c r="E819" s="93" t="n"/>
      <c r="F819" s="93" t="n"/>
      <c r="G819" s="93" t="n"/>
      <c r="H819" s="93" t="n"/>
      <c r="I819" s="93" t="n"/>
      <c r="J819" s="93" t="n"/>
      <c r="K819" s="93" t="n"/>
      <c r="L819" s="93" t="n"/>
      <c r="M819" s="93" t="n"/>
      <c r="N819" s="93" t="n"/>
      <c r="O819" s="93" t="n"/>
      <c r="P819" s="93" t="n"/>
      <c r="Q819" s="93" t="n"/>
      <c r="R819" s="93" t="n"/>
      <c r="S819" s="93" t="n"/>
      <c r="T819" s="93" t="n"/>
    </row>
    <row r="820" ht="12.75" customHeight="1" s="111">
      <c r="A820" s="93" t="n"/>
      <c r="B820" s="93" t="n"/>
      <c r="C820" s="93" t="n"/>
      <c r="D820" s="93" t="n"/>
      <c r="E820" s="93" t="n"/>
      <c r="F820" s="93" t="n"/>
      <c r="G820" s="93" t="n"/>
      <c r="H820" s="93" t="n"/>
      <c r="I820" s="93" t="n"/>
      <c r="J820" s="93" t="n"/>
      <c r="K820" s="93" t="n"/>
      <c r="L820" s="93" t="n"/>
      <c r="M820" s="93" t="n"/>
      <c r="N820" s="93" t="n"/>
      <c r="O820" s="93" t="n"/>
      <c r="P820" s="93" t="n"/>
      <c r="Q820" s="93" t="n"/>
      <c r="R820" s="93" t="n"/>
      <c r="S820" s="93" t="n"/>
      <c r="T820" s="93" t="n"/>
    </row>
    <row r="821" ht="12.75" customHeight="1" s="111">
      <c r="A821" s="93" t="n"/>
      <c r="B821" s="93" t="n"/>
      <c r="C821" s="93" t="n"/>
      <c r="D821" s="93" t="n"/>
      <c r="E821" s="93" t="n"/>
      <c r="F821" s="93" t="n"/>
      <c r="G821" s="93" t="n"/>
      <c r="H821" s="93" t="n"/>
      <c r="I821" s="93" t="n"/>
      <c r="J821" s="93" t="n"/>
      <c r="K821" s="93" t="n"/>
      <c r="L821" s="93" t="n"/>
      <c r="M821" s="93" t="n"/>
      <c r="N821" s="93" t="n"/>
      <c r="O821" s="93" t="n"/>
      <c r="P821" s="93" t="n"/>
      <c r="Q821" s="93" t="n"/>
      <c r="R821" s="93" t="n"/>
      <c r="S821" s="93" t="n"/>
      <c r="T821" s="93" t="n"/>
    </row>
    <row r="822" ht="12.75" customHeight="1" s="111">
      <c r="A822" s="93" t="n"/>
      <c r="B822" s="93" t="n"/>
      <c r="C822" s="93" t="n"/>
      <c r="D822" s="93" t="n"/>
      <c r="E822" s="93" t="n"/>
      <c r="F822" s="93" t="n"/>
      <c r="G822" s="93" t="n"/>
      <c r="H822" s="93" t="n"/>
      <c r="I822" s="93" t="n"/>
      <c r="J822" s="93" t="n"/>
      <c r="K822" s="93" t="n"/>
      <c r="L822" s="93" t="n"/>
      <c r="M822" s="93" t="n"/>
      <c r="N822" s="93" t="n"/>
      <c r="O822" s="93" t="n"/>
      <c r="P822" s="93" t="n"/>
      <c r="Q822" s="93" t="n"/>
      <c r="R822" s="93" t="n"/>
      <c r="S822" s="93" t="n"/>
      <c r="T822" s="93" t="n"/>
    </row>
    <row r="823" ht="12.75" customHeight="1" s="111">
      <c r="A823" s="93" t="n"/>
      <c r="B823" s="93" t="n"/>
      <c r="C823" s="93" t="n"/>
      <c r="D823" s="93" t="n"/>
      <c r="E823" s="93" t="n"/>
      <c r="F823" s="93" t="n"/>
      <c r="G823" s="93" t="n"/>
      <c r="H823" s="93" t="n"/>
      <c r="I823" s="93" t="n"/>
      <c r="J823" s="93" t="n"/>
      <c r="K823" s="93" t="n"/>
      <c r="L823" s="93" t="n"/>
      <c r="M823" s="93" t="n"/>
      <c r="N823" s="93" t="n"/>
      <c r="O823" s="93" t="n"/>
      <c r="P823" s="93" t="n"/>
      <c r="Q823" s="93" t="n"/>
      <c r="R823" s="93" t="n"/>
      <c r="S823" s="93" t="n"/>
      <c r="T823" s="93" t="n"/>
    </row>
    <row r="824" ht="12.75" customHeight="1" s="111">
      <c r="A824" s="93" t="n"/>
      <c r="B824" s="93" t="n"/>
      <c r="C824" s="93" t="n"/>
      <c r="D824" s="93" t="n"/>
      <c r="E824" s="93" t="n"/>
      <c r="F824" s="93" t="n"/>
      <c r="G824" s="93" t="n"/>
      <c r="H824" s="93" t="n"/>
      <c r="I824" s="93" t="n"/>
      <c r="J824" s="93" t="n"/>
      <c r="K824" s="93" t="n"/>
      <c r="L824" s="93" t="n"/>
      <c r="M824" s="93" t="n"/>
      <c r="N824" s="93" t="n"/>
      <c r="O824" s="93" t="n"/>
      <c r="P824" s="93" t="n"/>
      <c r="Q824" s="93" t="n"/>
      <c r="R824" s="93" t="n"/>
      <c r="S824" s="93" t="n"/>
      <c r="T824" s="93" t="n"/>
    </row>
    <row r="825" ht="12.75" customHeight="1" s="111">
      <c r="A825" s="93" t="n"/>
      <c r="B825" s="93" t="n"/>
      <c r="C825" s="93" t="n"/>
      <c r="D825" s="93" t="n"/>
      <c r="E825" s="93" t="n"/>
      <c r="F825" s="93" t="n"/>
      <c r="G825" s="93" t="n"/>
      <c r="H825" s="93" t="n"/>
      <c r="I825" s="93" t="n"/>
      <c r="J825" s="93" t="n"/>
      <c r="K825" s="93" t="n"/>
      <c r="L825" s="93" t="n"/>
      <c r="M825" s="93" t="n"/>
      <c r="N825" s="93" t="n"/>
      <c r="O825" s="93" t="n"/>
      <c r="P825" s="93" t="n"/>
      <c r="Q825" s="93" t="n"/>
      <c r="R825" s="93" t="n"/>
      <c r="S825" s="93" t="n"/>
      <c r="T825" s="93" t="n"/>
    </row>
    <row r="826" ht="12.75" customHeight="1" s="111">
      <c r="A826" s="93" t="n"/>
      <c r="B826" s="93" t="n"/>
      <c r="C826" s="93" t="n"/>
      <c r="D826" s="93" t="n"/>
      <c r="E826" s="93" t="n"/>
      <c r="F826" s="93" t="n"/>
      <c r="G826" s="93" t="n"/>
      <c r="H826" s="93" t="n"/>
      <c r="I826" s="93" t="n"/>
      <c r="J826" s="93" t="n"/>
      <c r="K826" s="93" t="n"/>
      <c r="L826" s="93" t="n"/>
      <c r="M826" s="93" t="n"/>
      <c r="N826" s="93" t="n"/>
      <c r="O826" s="93" t="n"/>
      <c r="P826" s="93" t="n"/>
      <c r="Q826" s="93" t="n"/>
      <c r="R826" s="93" t="n"/>
      <c r="S826" s="93" t="n"/>
      <c r="T826" s="93" t="n"/>
    </row>
    <row r="827" ht="12.75" customHeight="1" s="111">
      <c r="A827" s="93" t="n"/>
      <c r="B827" s="93" t="n"/>
      <c r="C827" s="93" t="n"/>
      <c r="D827" s="93" t="n"/>
      <c r="E827" s="93" t="n"/>
      <c r="F827" s="93" t="n"/>
      <c r="G827" s="93" t="n"/>
      <c r="H827" s="93" t="n"/>
      <c r="I827" s="93" t="n"/>
      <c r="J827" s="93" t="n"/>
      <c r="K827" s="93" t="n"/>
      <c r="L827" s="93" t="n"/>
      <c r="M827" s="93" t="n"/>
      <c r="N827" s="93" t="n"/>
      <c r="O827" s="93" t="n"/>
      <c r="P827" s="93" t="n"/>
      <c r="Q827" s="93" t="n"/>
      <c r="R827" s="93" t="n"/>
      <c r="S827" s="93" t="n"/>
      <c r="T827" s="93" t="n"/>
    </row>
    <row r="828" ht="12.75" customHeight="1" s="111">
      <c r="A828" s="93" t="n"/>
      <c r="B828" s="93" t="n"/>
      <c r="C828" s="93" t="n"/>
      <c r="D828" s="93" t="n"/>
      <c r="E828" s="93" t="n"/>
      <c r="F828" s="93" t="n"/>
      <c r="G828" s="93" t="n"/>
      <c r="H828" s="93" t="n"/>
      <c r="I828" s="93" t="n"/>
      <c r="J828" s="93" t="n"/>
      <c r="K828" s="93" t="n"/>
      <c r="L828" s="93" t="n"/>
      <c r="M828" s="93" t="n"/>
      <c r="N828" s="93" t="n"/>
      <c r="O828" s="93" t="n"/>
      <c r="P828" s="93" t="n"/>
      <c r="Q828" s="93" t="n"/>
      <c r="R828" s="93" t="n"/>
      <c r="S828" s="93" t="n"/>
      <c r="T828" s="93" t="n"/>
    </row>
    <row r="829" ht="12.75" customHeight="1" s="111">
      <c r="A829" s="93" t="n"/>
      <c r="B829" s="93" t="n"/>
      <c r="C829" s="93" t="n"/>
      <c r="D829" s="93" t="n"/>
      <c r="E829" s="93" t="n"/>
      <c r="F829" s="93" t="n"/>
      <c r="G829" s="93" t="n"/>
      <c r="H829" s="93" t="n"/>
      <c r="I829" s="93" t="n"/>
      <c r="J829" s="93" t="n"/>
      <c r="K829" s="93" t="n"/>
      <c r="L829" s="93" t="n"/>
      <c r="M829" s="93" t="n"/>
      <c r="N829" s="93" t="n"/>
      <c r="O829" s="93" t="n"/>
      <c r="P829" s="93" t="n"/>
      <c r="Q829" s="93" t="n"/>
      <c r="R829" s="93" t="n"/>
      <c r="S829" s="93" t="n"/>
      <c r="T829" s="93" t="n"/>
    </row>
    <row r="830" ht="12.75" customHeight="1" s="111">
      <c r="A830" s="93" t="n"/>
      <c r="B830" s="93" t="n"/>
      <c r="C830" s="93" t="n"/>
      <c r="D830" s="93" t="n"/>
      <c r="E830" s="93" t="n"/>
      <c r="F830" s="93" t="n"/>
      <c r="G830" s="93" t="n"/>
      <c r="H830" s="93" t="n"/>
      <c r="I830" s="93" t="n"/>
      <c r="J830" s="93" t="n"/>
      <c r="K830" s="93" t="n"/>
      <c r="L830" s="93" t="n"/>
      <c r="M830" s="93" t="n"/>
      <c r="N830" s="93" t="n"/>
      <c r="O830" s="93" t="n"/>
      <c r="P830" s="93" t="n"/>
      <c r="Q830" s="93" t="n"/>
      <c r="R830" s="93" t="n"/>
      <c r="S830" s="93" t="n"/>
      <c r="T830" s="93" t="n"/>
    </row>
    <row r="831" ht="12.75" customHeight="1" s="111">
      <c r="A831" s="93" t="n"/>
      <c r="B831" s="93" t="n"/>
      <c r="C831" s="93" t="n"/>
      <c r="D831" s="93" t="n"/>
      <c r="E831" s="93" t="n"/>
      <c r="F831" s="93" t="n"/>
      <c r="G831" s="93" t="n"/>
      <c r="H831" s="93" t="n"/>
      <c r="I831" s="93" t="n"/>
      <c r="J831" s="93" t="n"/>
      <c r="K831" s="93" t="n"/>
      <c r="L831" s="93" t="n"/>
      <c r="M831" s="93" t="n"/>
      <c r="N831" s="93" t="n"/>
      <c r="O831" s="93" t="n"/>
      <c r="P831" s="93" t="n"/>
      <c r="Q831" s="93" t="n"/>
      <c r="R831" s="93" t="n"/>
      <c r="S831" s="93" t="n"/>
      <c r="T831" s="93" t="n"/>
    </row>
    <row r="832" ht="12.75" customHeight="1" s="111">
      <c r="A832" s="93" t="n"/>
      <c r="B832" s="93" t="n"/>
      <c r="C832" s="93" t="n"/>
      <c r="D832" s="93" t="n"/>
      <c r="E832" s="93" t="n"/>
      <c r="F832" s="93" t="n"/>
      <c r="G832" s="93" t="n"/>
      <c r="H832" s="93" t="n"/>
      <c r="I832" s="93" t="n"/>
      <c r="J832" s="93" t="n"/>
      <c r="K832" s="93" t="n"/>
      <c r="L832" s="93" t="n"/>
      <c r="M832" s="93" t="n"/>
      <c r="N832" s="93" t="n"/>
      <c r="O832" s="93" t="n"/>
      <c r="P832" s="93" t="n"/>
      <c r="Q832" s="93" t="n"/>
      <c r="R832" s="93" t="n"/>
      <c r="S832" s="93" t="n"/>
      <c r="T832" s="93" t="n"/>
    </row>
    <row r="833" ht="12.75" customHeight="1" s="111">
      <c r="A833" s="93" t="n"/>
      <c r="B833" s="93" t="n"/>
      <c r="C833" s="93" t="n"/>
      <c r="D833" s="93" t="n"/>
      <c r="E833" s="93" t="n"/>
      <c r="F833" s="93" t="n"/>
      <c r="G833" s="93" t="n"/>
      <c r="H833" s="93" t="n"/>
      <c r="I833" s="93" t="n"/>
      <c r="J833" s="93" t="n"/>
      <c r="K833" s="93" t="n"/>
      <c r="L833" s="93" t="n"/>
      <c r="M833" s="93" t="n"/>
      <c r="N833" s="93" t="n"/>
      <c r="O833" s="93" t="n"/>
      <c r="P833" s="93" t="n"/>
      <c r="Q833" s="93" t="n"/>
      <c r="R833" s="93" t="n"/>
      <c r="S833" s="93" t="n"/>
      <c r="T833" s="93" t="n"/>
    </row>
    <row r="834" ht="12.75" customHeight="1" s="111">
      <c r="A834" s="93" t="n"/>
      <c r="B834" s="93" t="n"/>
      <c r="C834" s="93" t="n"/>
      <c r="D834" s="93" t="n"/>
      <c r="E834" s="93" t="n"/>
      <c r="F834" s="93" t="n"/>
      <c r="G834" s="93" t="n"/>
      <c r="H834" s="93" t="n"/>
      <c r="I834" s="93" t="n"/>
      <c r="J834" s="93" t="n"/>
      <c r="K834" s="93" t="n"/>
      <c r="L834" s="93" t="n"/>
      <c r="M834" s="93" t="n"/>
      <c r="N834" s="93" t="n"/>
      <c r="O834" s="93" t="n"/>
      <c r="P834" s="93" t="n"/>
      <c r="Q834" s="93" t="n"/>
      <c r="R834" s="93" t="n"/>
      <c r="S834" s="93" t="n"/>
      <c r="T834" s="93" t="n"/>
    </row>
    <row r="835" ht="12.75" customHeight="1" s="111">
      <c r="A835" s="93" t="n"/>
      <c r="B835" s="93" t="n"/>
      <c r="C835" s="93" t="n"/>
      <c r="D835" s="93" t="n"/>
      <c r="E835" s="93" t="n"/>
      <c r="F835" s="93" t="n"/>
      <c r="G835" s="93" t="n"/>
      <c r="H835" s="93" t="n"/>
      <c r="I835" s="93" t="n"/>
      <c r="J835" s="93" t="n"/>
      <c r="K835" s="93" t="n"/>
      <c r="L835" s="93" t="n"/>
      <c r="M835" s="93" t="n"/>
      <c r="N835" s="93" t="n"/>
      <c r="O835" s="93" t="n"/>
      <c r="P835" s="93" t="n"/>
      <c r="Q835" s="93" t="n"/>
      <c r="R835" s="93" t="n"/>
      <c r="S835" s="93" t="n"/>
      <c r="T835" s="93" t="n"/>
    </row>
    <row r="836" ht="12.75" customHeight="1" s="111">
      <c r="A836" s="93" t="n"/>
      <c r="B836" s="93" t="n"/>
      <c r="C836" s="93" t="n"/>
      <c r="D836" s="93" t="n"/>
      <c r="E836" s="93" t="n"/>
      <c r="F836" s="93" t="n"/>
      <c r="G836" s="93" t="n"/>
      <c r="H836" s="93" t="n"/>
      <c r="I836" s="93" t="n"/>
      <c r="J836" s="93" t="n"/>
      <c r="K836" s="93" t="n"/>
      <c r="L836" s="93" t="n"/>
      <c r="M836" s="93" t="n"/>
      <c r="N836" s="93" t="n"/>
      <c r="O836" s="93" t="n"/>
      <c r="P836" s="93" t="n"/>
      <c r="Q836" s="93" t="n"/>
      <c r="R836" s="93" t="n"/>
      <c r="S836" s="93" t="n"/>
      <c r="T836" s="93" t="n"/>
    </row>
    <row r="837" ht="12.75" customHeight="1" s="111">
      <c r="A837" s="93" t="n"/>
      <c r="B837" s="93" t="n"/>
      <c r="C837" s="93" t="n"/>
      <c r="D837" s="93" t="n"/>
      <c r="E837" s="93" t="n"/>
      <c r="F837" s="93" t="n"/>
      <c r="G837" s="93" t="n"/>
      <c r="H837" s="93" t="n"/>
      <c r="I837" s="93" t="n"/>
      <c r="J837" s="93" t="n"/>
      <c r="K837" s="93" t="n"/>
      <c r="L837" s="93" t="n"/>
      <c r="M837" s="93" t="n"/>
      <c r="N837" s="93" t="n"/>
      <c r="O837" s="93" t="n"/>
      <c r="P837" s="93" t="n"/>
      <c r="Q837" s="93" t="n"/>
      <c r="R837" s="93" t="n"/>
      <c r="S837" s="93" t="n"/>
      <c r="T837" s="93" t="n"/>
    </row>
    <row r="838" ht="12.75" customHeight="1" s="111">
      <c r="A838" s="93" t="n"/>
      <c r="B838" s="93" t="n"/>
      <c r="C838" s="93" t="n"/>
      <c r="D838" s="93" t="n"/>
      <c r="E838" s="93" t="n"/>
      <c r="F838" s="93" t="n"/>
      <c r="G838" s="93" t="n"/>
      <c r="H838" s="93" t="n"/>
      <c r="I838" s="93" t="n"/>
      <c r="J838" s="93" t="n"/>
      <c r="K838" s="93" t="n"/>
      <c r="L838" s="93" t="n"/>
      <c r="M838" s="93" t="n"/>
      <c r="N838" s="93" t="n"/>
      <c r="O838" s="93" t="n"/>
      <c r="P838" s="93" t="n"/>
      <c r="Q838" s="93" t="n"/>
      <c r="R838" s="93" t="n"/>
      <c r="S838" s="93" t="n"/>
      <c r="T838" s="93" t="n"/>
    </row>
    <row r="839" ht="12.75" customHeight="1" s="111">
      <c r="A839" s="93" t="n"/>
      <c r="B839" s="93" t="n"/>
      <c r="C839" s="93" t="n"/>
      <c r="D839" s="93" t="n"/>
      <c r="E839" s="93" t="n"/>
      <c r="F839" s="93" t="n"/>
      <c r="G839" s="93" t="n"/>
      <c r="H839" s="93" t="n"/>
      <c r="I839" s="93" t="n"/>
      <c r="J839" s="93" t="n"/>
      <c r="K839" s="93" t="n"/>
      <c r="L839" s="93" t="n"/>
      <c r="M839" s="93" t="n"/>
      <c r="N839" s="93" t="n"/>
      <c r="O839" s="93" t="n"/>
      <c r="P839" s="93" t="n"/>
      <c r="Q839" s="93" t="n"/>
      <c r="R839" s="93" t="n"/>
      <c r="S839" s="93" t="n"/>
      <c r="T839" s="93" t="n"/>
    </row>
    <row r="840" ht="12.75" customHeight="1" s="111">
      <c r="A840" s="93" t="n"/>
      <c r="B840" s="93" t="n"/>
      <c r="C840" s="93" t="n"/>
      <c r="D840" s="93" t="n"/>
      <c r="E840" s="93" t="n"/>
      <c r="F840" s="93" t="n"/>
      <c r="G840" s="93" t="n"/>
      <c r="H840" s="93" t="n"/>
      <c r="I840" s="93" t="n"/>
      <c r="J840" s="93" t="n"/>
      <c r="K840" s="93" t="n"/>
      <c r="L840" s="93" t="n"/>
      <c r="M840" s="93" t="n"/>
      <c r="N840" s="93" t="n"/>
      <c r="O840" s="93" t="n"/>
      <c r="P840" s="93" t="n"/>
      <c r="Q840" s="93" t="n"/>
      <c r="R840" s="93" t="n"/>
      <c r="S840" s="93" t="n"/>
      <c r="T840" s="93" t="n"/>
    </row>
    <row r="841" ht="12.75" customHeight="1" s="111">
      <c r="A841" s="93" t="n"/>
      <c r="B841" s="93" t="n"/>
      <c r="C841" s="93" t="n"/>
      <c r="D841" s="93" t="n"/>
      <c r="E841" s="93" t="n"/>
      <c r="F841" s="93" t="n"/>
      <c r="G841" s="93" t="n"/>
      <c r="H841" s="93" t="n"/>
      <c r="I841" s="93" t="n"/>
      <c r="J841" s="93" t="n"/>
      <c r="K841" s="93" t="n"/>
      <c r="L841" s="93" t="n"/>
      <c r="M841" s="93" t="n"/>
      <c r="N841" s="93" t="n"/>
      <c r="O841" s="93" t="n"/>
      <c r="P841" s="93" t="n"/>
      <c r="Q841" s="93" t="n"/>
      <c r="R841" s="93" t="n"/>
      <c r="S841" s="93" t="n"/>
      <c r="T841" s="93" t="n"/>
    </row>
    <row r="842" ht="12.75" customHeight="1" s="111">
      <c r="A842" s="93" t="n"/>
      <c r="B842" s="93" t="n"/>
      <c r="C842" s="93" t="n"/>
      <c r="D842" s="93" t="n"/>
      <c r="E842" s="93" t="n"/>
      <c r="F842" s="93" t="n"/>
      <c r="G842" s="93" t="n"/>
      <c r="H842" s="93" t="n"/>
      <c r="I842" s="93" t="n"/>
      <c r="J842" s="93" t="n"/>
      <c r="K842" s="93" t="n"/>
      <c r="L842" s="93" t="n"/>
      <c r="M842" s="93" t="n"/>
      <c r="N842" s="93" t="n"/>
      <c r="O842" s="93" t="n"/>
      <c r="P842" s="93" t="n"/>
      <c r="Q842" s="93" t="n"/>
      <c r="R842" s="93" t="n"/>
      <c r="S842" s="93" t="n"/>
      <c r="T842" s="93" t="n"/>
    </row>
    <row r="843" ht="12.75" customHeight="1" s="111">
      <c r="A843" s="93" t="n"/>
      <c r="B843" s="93" t="n"/>
      <c r="C843" s="93" t="n"/>
      <c r="D843" s="93" t="n"/>
      <c r="E843" s="93" t="n"/>
      <c r="F843" s="93" t="n"/>
      <c r="G843" s="93" t="n"/>
      <c r="H843" s="93" t="n"/>
      <c r="I843" s="93" t="n"/>
      <c r="J843" s="93" t="n"/>
      <c r="K843" s="93" t="n"/>
      <c r="L843" s="93" t="n"/>
      <c r="M843" s="93" t="n"/>
      <c r="N843" s="93" t="n"/>
      <c r="O843" s="93" t="n"/>
      <c r="P843" s="93" t="n"/>
      <c r="Q843" s="93" t="n"/>
      <c r="R843" s="93" t="n"/>
      <c r="S843" s="93" t="n"/>
      <c r="T843" s="93" t="n"/>
    </row>
    <row r="844" ht="12.75" customHeight="1" s="111">
      <c r="A844" s="93" t="n"/>
      <c r="B844" s="93" t="n"/>
      <c r="C844" s="93" t="n"/>
      <c r="D844" s="93" t="n"/>
      <c r="E844" s="93" t="n"/>
      <c r="F844" s="93" t="n"/>
      <c r="G844" s="93" t="n"/>
      <c r="H844" s="93" t="n"/>
      <c r="I844" s="93" t="n"/>
      <c r="J844" s="93" t="n"/>
      <c r="K844" s="93" t="n"/>
      <c r="L844" s="93" t="n"/>
      <c r="M844" s="93" t="n"/>
      <c r="N844" s="93" t="n"/>
      <c r="O844" s="93" t="n"/>
      <c r="P844" s="93" t="n"/>
      <c r="Q844" s="93" t="n"/>
      <c r="R844" s="93" t="n"/>
      <c r="S844" s="93" t="n"/>
      <c r="T844" s="93" t="n"/>
    </row>
    <row r="845" ht="12.75" customHeight="1" s="111">
      <c r="A845" s="93" t="n"/>
      <c r="B845" s="93" t="n"/>
      <c r="C845" s="93" t="n"/>
      <c r="D845" s="93" t="n"/>
      <c r="E845" s="93" t="n"/>
      <c r="F845" s="93" t="n"/>
      <c r="G845" s="93" t="n"/>
      <c r="H845" s="93" t="n"/>
      <c r="I845" s="93" t="n"/>
      <c r="J845" s="93" t="n"/>
      <c r="K845" s="93" t="n"/>
      <c r="L845" s="93" t="n"/>
      <c r="M845" s="93" t="n"/>
      <c r="N845" s="93" t="n"/>
      <c r="O845" s="93" t="n"/>
      <c r="P845" s="93" t="n"/>
      <c r="Q845" s="93" t="n"/>
      <c r="R845" s="93" t="n"/>
      <c r="S845" s="93" t="n"/>
      <c r="T845" s="93" t="n"/>
    </row>
    <row r="846" ht="12.75" customHeight="1" s="111">
      <c r="A846" s="93" t="n"/>
      <c r="B846" s="93" t="n"/>
      <c r="C846" s="93" t="n"/>
      <c r="D846" s="93" t="n"/>
      <c r="E846" s="93" t="n"/>
      <c r="F846" s="93" t="n"/>
      <c r="G846" s="93" t="n"/>
      <c r="H846" s="93" t="n"/>
      <c r="I846" s="93" t="n"/>
      <c r="J846" s="93" t="n"/>
      <c r="K846" s="93" t="n"/>
      <c r="L846" s="93" t="n"/>
      <c r="M846" s="93" t="n"/>
      <c r="N846" s="93" t="n"/>
      <c r="O846" s="93" t="n"/>
      <c r="P846" s="93" t="n"/>
      <c r="Q846" s="93" t="n"/>
      <c r="R846" s="93" t="n"/>
      <c r="S846" s="93" t="n"/>
      <c r="T846" s="93" t="n"/>
    </row>
    <row r="847" ht="12.75" customHeight="1" s="111">
      <c r="A847" s="93" t="n"/>
      <c r="B847" s="93" t="n"/>
      <c r="C847" s="93" t="n"/>
      <c r="D847" s="93" t="n"/>
      <c r="E847" s="93" t="n"/>
      <c r="F847" s="93" t="n"/>
      <c r="G847" s="93" t="n"/>
      <c r="H847" s="93" t="n"/>
      <c r="I847" s="93" t="n"/>
      <c r="J847" s="93" t="n"/>
      <c r="K847" s="93" t="n"/>
      <c r="L847" s="93" t="n"/>
      <c r="M847" s="93" t="n"/>
      <c r="N847" s="93" t="n"/>
      <c r="O847" s="93" t="n"/>
      <c r="P847" s="93" t="n"/>
      <c r="Q847" s="93" t="n"/>
      <c r="R847" s="93" t="n"/>
      <c r="S847" s="93" t="n"/>
      <c r="T847" s="93" t="n"/>
    </row>
    <row r="848" ht="12.75" customHeight="1" s="111">
      <c r="A848" s="93" t="n"/>
      <c r="B848" s="93" t="n"/>
      <c r="C848" s="93" t="n"/>
      <c r="D848" s="93" t="n"/>
      <c r="E848" s="93" t="n"/>
      <c r="F848" s="93" t="n"/>
      <c r="G848" s="93" t="n"/>
      <c r="H848" s="93" t="n"/>
      <c r="I848" s="93" t="n"/>
      <c r="J848" s="93" t="n"/>
      <c r="K848" s="93" t="n"/>
      <c r="L848" s="93" t="n"/>
      <c r="M848" s="93" t="n"/>
      <c r="N848" s="93" t="n"/>
      <c r="O848" s="93" t="n"/>
      <c r="P848" s="93" t="n"/>
      <c r="Q848" s="93" t="n"/>
      <c r="R848" s="93" t="n"/>
      <c r="S848" s="93" t="n"/>
      <c r="T848" s="93" t="n"/>
    </row>
    <row r="849" ht="12.75" customHeight="1" s="111">
      <c r="A849" s="93" t="n"/>
      <c r="B849" s="93" t="n"/>
      <c r="C849" s="93" t="n"/>
      <c r="D849" s="93" t="n"/>
      <c r="E849" s="93" t="n"/>
      <c r="F849" s="93" t="n"/>
      <c r="G849" s="93" t="n"/>
      <c r="H849" s="93" t="n"/>
      <c r="I849" s="93" t="n"/>
      <c r="J849" s="93" t="n"/>
      <c r="K849" s="93" t="n"/>
      <c r="L849" s="93" t="n"/>
      <c r="M849" s="93" t="n"/>
      <c r="N849" s="93" t="n"/>
      <c r="O849" s="93" t="n"/>
      <c r="P849" s="93" t="n"/>
      <c r="Q849" s="93" t="n"/>
      <c r="R849" s="93" t="n"/>
      <c r="S849" s="93" t="n"/>
      <c r="T849" s="93" t="n"/>
    </row>
    <row r="850" ht="12.75" customHeight="1" s="111">
      <c r="A850" s="93" t="n"/>
      <c r="B850" s="93" t="n"/>
      <c r="C850" s="93" t="n"/>
      <c r="D850" s="93" t="n"/>
      <c r="E850" s="93" t="n"/>
      <c r="F850" s="93" t="n"/>
      <c r="G850" s="93" t="n"/>
      <c r="H850" s="93" t="n"/>
      <c r="I850" s="93" t="n"/>
      <c r="J850" s="93" t="n"/>
      <c r="K850" s="93" t="n"/>
      <c r="L850" s="93" t="n"/>
      <c r="M850" s="93" t="n"/>
      <c r="N850" s="93" t="n"/>
      <c r="O850" s="93" t="n"/>
      <c r="P850" s="93" t="n"/>
      <c r="Q850" s="93" t="n"/>
      <c r="R850" s="93" t="n"/>
      <c r="S850" s="93" t="n"/>
      <c r="T850" s="93" t="n"/>
    </row>
    <row r="851" ht="12.75" customHeight="1" s="111">
      <c r="A851" s="93" t="n"/>
      <c r="B851" s="93" t="n"/>
      <c r="C851" s="93" t="n"/>
      <c r="D851" s="93" t="n"/>
      <c r="E851" s="93" t="n"/>
      <c r="F851" s="93" t="n"/>
      <c r="G851" s="93" t="n"/>
      <c r="H851" s="93" t="n"/>
      <c r="I851" s="93" t="n"/>
      <c r="J851" s="93" t="n"/>
      <c r="K851" s="93" t="n"/>
      <c r="L851" s="93" t="n"/>
      <c r="M851" s="93" t="n"/>
      <c r="N851" s="93" t="n"/>
      <c r="O851" s="93" t="n"/>
      <c r="P851" s="93" t="n"/>
      <c r="Q851" s="93" t="n"/>
      <c r="R851" s="93" t="n"/>
      <c r="S851" s="93" t="n"/>
      <c r="T851" s="93" t="n"/>
    </row>
    <row r="852" ht="12.75" customHeight="1" s="111">
      <c r="A852" s="93" t="n"/>
      <c r="B852" s="93" t="n"/>
      <c r="C852" s="93" t="n"/>
      <c r="D852" s="93" t="n"/>
      <c r="E852" s="93" t="n"/>
      <c r="F852" s="93" t="n"/>
      <c r="G852" s="93" t="n"/>
      <c r="H852" s="93" t="n"/>
      <c r="I852" s="93" t="n"/>
      <c r="J852" s="93" t="n"/>
      <c r="K852" s="93" t="n"/>
      <c r="L852" s="93" t="n"/>
      <c r="M852" s="93" t="n"/>
      <c r="N852" s="93" t="n"/>
      <c r="O852" s="93" t="n"/>
      <c r="P852" s="93" t="n"/>
      <c r="Q852" s="93" t="n"/>
      <c r="R852" s="93" t="n"/>
      <c r="S852" s="93" t="n"/>
      <c r="T852" s="93" t="n"/>
    </row>
    <row r="853" ht="12.75" customHeight="1" s="111">
      <c r="A853" s="93" t="n"/>
      <c r="B853" s="93" t="n"/>
      <c r="C853" s="93" t="n"/>
      <c r="D853" s="93" t="n"/>
      <c r="E853" s="93" t="n"/>
      <c r="F853" s="93" t="n"/>
      <c r="G853" s="93" t="n"/>
      <c r="H853" s="93" t="n"/>
      <c r="I853" s="93" t="n"/>
      <c r="J853" s="93" t="n"/>
      <c r="K853" s="93" t="n"/>
      <c r="L853" s="93" t="n"/>
      <c r="M853" s="93" t="n"/>
      <c r="N853" s="93" t="n"/>
      <c r="O853" s="93" t="n"/>
      <c r="P853" s="93" t="n"/>
      <c r="Q853" s="93" t="n"/>
      <c r="R853" s="93" t="n"/>
      <c r="S853" s="93" t="n"/>
      <c r="T853" s="93" t="n"/>
    </row>
    <row r="854" ht="12.75" customHeight="1" s="111">
      <c r="A854" s="93" t="n"/>
      <c r="B854" s="93" t="n"/>
      <c r="C854" s="93" t="n"/>
      <c r="D854" s="93" t="n"/>
      <c r="E854" s="93" t="n"/>
      <c r="F854" s="93" t="n"/>
      <c r="G854" s="93" t="n"/>
      <c r="H854" s="93" t="n"/>
      <c r="I854" s="93" t="n"/>
      <c r="J854" s="93" t="n"/>
      <c r="K854" s="93" t="n"/>
      <c r="L854" s="93" t="n"/>
      <c r="M854" s="93" t="n"/>
      <c r="N854" s="93" t="n"/>
      <c r="O854" s="93" t="n"/>
      <c r="P854" s="93" t="n"/>
      <c r="Q854" s="93" t="n"/>
      <c r="R854" s="93" t="n"/>
      <c r="S854" s="93" t="n"/>
      <c r="T854" s="93" t="n"/>
    </row>
    <row r="855" ht="12.75" customHeight="1" s="111">
      <c r="A855" s="93" t="n"/>
      <c r="B855" s="93" t="n"/>
      <c r="C855" s="93" t="n"/>
      <c r="D855" s="93" t="n"/>
      <c r="E855" s="93" t="n"/>
      <c r="F855" s="93" t="n"/>
      <c r="G855" s="93" t="n"/>
      <c r="H855" s="93" t="n"/>
      <c r="I855" s="93" t="n"/>
      <c r="J855" s="93" t="n"/>
      <c r="K855" s="93" t="n"/>
      <c r="L855" s="93" t="n"/>
      <c r="M855" s="93" t="n"/>
      <c r="N855" s="93" t="n"/>
      <c r="O855" s="93" t="n"/>
      <c r="P855" s="93" t="n"/>
      <c r="Q855" s="93" t="n"/>
      <c r="R855" s="93" t="n"/>
      <c r="S855" s="93" t="n"/>
      <c r="T855" s="93" t="n"/>
    </row>
    <row r="856" ht="12.75" customHeight="1" s="111">
      <c r="A856" s="93" t="n"/>
      <c r="B856" s="93" t="n"/>
      <c r="C856" s="93" t="n"/>
      <c r="D856" s="93" t="n"/>
      <c r="E856" s="93" t="n"/>
      <c r="F856" s="93" t="n"/>
      <c r="G856" s="93" t="n"/>
      <c r="H856" s="93" t="n"/>
      <c r="I856" s="93" t="n"/>
      <c r="J856" s="93" t="n"/>
      <c r="K856" s="93" t="n"/>
      <c r="L856" s="93" t="n"/>
      <c r="M856" s="93" t="n"/>
      <c r="N856" s="93" t="n"/>
      <c r="O856" s="93" t="n"/>
      <c r="P856" s="93" t="n"/>
      <c r="Q856" s="93" t="n"/>
      <c r="R856" s="93" t="n"/>
      <c r="S856" s="93" t="n"/>
      <c r="T856" s="93" t="n"/>
    </row>
    <row r="857" ht="12.75" customHeight="1" s="111">
      <c r="A857" s="93" t="n"/>
      <c r="B857" s="93" t="n"/>
      <c r="C857" s="93" t="n"/>
      <c r="D857" s="93" t="n"/>
      <c r="E857" s="93" t="n"/>
      <c r="F857" s="93" t="n"/>
      <c r="G857" s="93" t="n"/>
      <c r="H857" s="93" t="n"/>
      <c r="I857" s="93" t="n"/>
      <c r="J857" s="93" t="n"/>
      <c r="K857" s="93" t="n"/>
      <c r="L857" s="93" t="n"/>
      <c r="M857" s="93" t="n"/>
      <c r="N857" s="93" t="n"/>
      <c r="O857" s="93" t="n"/>
      <c r="P857" s="93" t="n"/>
      <c r="Q857" s="93" t="n"/>
      <c r="R857" s="93" t="n"/>
      <c r="S857" s="93" t="n"/>
      <c r="T857" s="93" t="n"/>
    </row>
    <row r="858" ht="12.75" customHeight="1" s="111">
      <c r="A858" s="93" t="n"/>
      <c r="B858" s="93" t="n"/>
      <c r="C858" s="93" t="n"/>
      <c r="D858" s="93" t="n"/>
      <c r="E858" s="93" t="n"/>
      <c r="F858" s="93" t="n"/>
      <c r="G858" s="93" t="n"/>
      <c r="H858" s="93" t="n"/>
      <c r="I858" s="93" t="n"/>
      <c r="J858" s="93" t="n"/>
      <c r="K858" s="93" t="n"/>
      <c r="L858" s="93" t="n"/>
      <c r="M858" s="93" t="n"/>
      <c r="N858" s="93" t="n"/>
      <c r="O858" s="93" t="n"/>
      <c r="P858" s="93" t="n"/>
      <c r="Q858" s="93" t="n"/>
      <c r="R858" s="93" t="n"/>
      <c r="S858" s="93" t="n"/>
      <c r="T858" s="93" t="n"/>
    </row>
    <row r="859" ht="12.75" customHeight="1" s="111">
      <c r="A859" s="93" t="n"/>
      <c r="B859" s="93" t="n"/>
      <c r="C859" s="93" t="n"/>
      <c r="D859" s="93" t="n"/>
      <c r="E859" s="93" t="n"/>
      <c r="F859" s="93" t="n"/>
      <c r="G859" s="93" t="n"/>
      <c r="H859" s="93" t="n"/>
      <c r="I859" s="93" t="n"/>
      <c r="J859" s="93" t="n"/>
      <c r="K859" s="93" t="n"/>
      <c r="L859" s="93" t="n"/>
      <c r="M859" s="93" t="n"/>
      <c r="N859" s="93" t="n"/>
      <c r="O859" s="93" t="n"/>
      <c r="P859" s="93" t="n"/>
      <c r="Q859" s="93" t="n"/>
      <c r="R859" s="93" t="n"/>
      <c r="S859" s="93" t="n"/>
      <c r="T859" s="93" t="n"/>
    </row>
    <row r="860" ht="12.75" customHeight="1" s="111">
      <c r="A860" s="93" t="n"/>
      <c r="B860" s="93" t="n"/>
      <c r="C860" s="93" t="n"/>
      <c r="D860" s="93" t="n"/>
      <c r="E860" s="93" t="n"/>
      <c r="F860" s="93" t="n"/>
      <c r="G860" s="93" t="n"/>
      <c r="H860" s="93" t="n"/>
      <c r="I860" s="93" t="n"/>
      <c r="J860" s="93" t="n"/>
      <c r="K860" s="93" t="n"/>
      <c r="L860" s="93" t="n"/>
      <c r="M860" s="93" t="n"/>
      <c r="N860" s="93" t="n"/>
      <c r="O860" s="93" t="n"/>
      <c r="P860" s="93" t="n"/>
      <c r="Q860" s="93" t="n"/>
      <c r="R860" s="93" t="n"/>
      <c r="S860" s="93" t="n"/>
      <c r="T860" s="93" t="n"/>
    </row>
    <row r="861" ht="12.75" customHeight="1" s="111">
      <c r="A861" s="93" t="n"/>
      <c r="B861" s="93" t="n"/>
      <c r="C861" s="93" t="n"/>
      <c r="D861" s="93" t="n"/>
      <c r="E861" s="93" t="n"/>
      <c r="F861" s="93" t="n"/>
      <c r="G861" s="93" t="n"/>
      <c r="H861" s="93" t="n"/>
      <c r="I861" s="93" t="n"/>
      <c r="J861" s="93" t="n"/>
      <c r="K861" s="93" t="n"/>
      <c r="L861" s="93" t="n"/>
      <c r="M861" s="93" t="n"/>
      <c r="N861" s="93" t="n"/>
      <c r="O861" s="93" t="n"/>
      <c r="P861" s="93" t="n"/>
      <c r="Q861" s="93" t="n"/>
      <c r="R861" s="93" t="n"/>
      <c r="S861" s="93" t="n"/>
      <c r="T861" s="93" t="n"/>
    </row>
    <row r="862" ht="12.75" customHeight="1" s="111">
      <c r="A862" s="93" t="n"/>
      <c r="B862" s="93" t="n"/>
      <c r="C862" s="93" t="n"/>
      <c r="D862" s="93" t="n"/>
      <c r="E862" s="93" t="n"/>
      <c r="F862" s="93" t="n"/>
      <c r="G862" s="93" t="n"/>
      <c r="H862" s="93" t="n"/>
      <c r="I862" s="93" t="n"/>
      <c r="J862" s="93" t="n"/>
      <c r="K862" s="93" t="n"/>
      <c r="L862" s="93" t="n"/>
      <c r="M862" s="93" t="n"/>
      <c r="N862" s="93" t="n"/>
      <c r="O862" s="93" t="n"/>
      <c r="P862" s="93" t="n"/>
      <c r="Q862" s="93" t="n"/>
      <c r="R862" s="93" t="n"/>
      <c r="S862" s="93" t="n"/>
      <c r="T862" s="93" t="n"/>
    </row>
    <row r="863" ht="12.75" customHeight="1" s="111">
      <c r="A863" s="93" t="n"/>
      <c r="B863" s="93" t="n"/>
      <c r="C863" s="93" t="n"/>
      <c r="D863" s="93" t="n"/>
      <c r="E863" s="93" t="n"/>
      <c r="F863" s="93" t="n"/>
      <c r="G863" s="93" t="n"/>
      <c r="H863" s="93" t="n"/>
      <c r="I863" s="93" t="n"/>
      <c r="J863" s="93" t="n"/>
      <c r="K863" s="93" t="n"/>
      <c r="L863" s="93" t="n"/>
      <c r="M863" s="93" t="n"/>
      <c r="N863" s="93" t="n"/>
      <c r="O863" s="93" t="n"/>
      <c r="P863" s="93" t="n"/>
      <c r="Q863" s="93" t="n"/>
      <c r="R863" s="93" t="n"/>
      <c r="S863" s="93" t="n"/>
      <c r="T863" s="93" t="n"/>
    </row>
    <row r="864" ht="12.75" customHeight="1" s="111">
      <c r="A864" s="93" t="n"/>
      <c r="B864" s="93" t="n"/>
      <c r="C864" s="93" t="n"/>
      <c r="D864" s="93" t="n"/>
      <c r="E864" s="93" t="n"/>
      <c r="F864" s="93" t="n"/>
      <c r="G864" s="93" t="n"/>
      <c r="H864" s="93" t="n"/>
      <c r="I864" s="93" t="n"/>
      <c r="J864" s="93" t="n"/>
      <c r="K864" s="93" t="n"/>
      <c r="L864" s="93" t="n"/>
      <c r="M864" s="93" t="n"/>
      <c r="N864" s="93" t="n"/>
      <c r="O864" s="93" t="n"/>
      <c r="P864" s="93" t="n"/>
      <c r="Q864" s="93" t="n"/>
      <c r="R864" s="93" t="n"/>
      <c r="S864" s="93" t="n"/>
      <c r="T864" s="93" t="n"/>
    </row>
    <row r="865" ht="12.75" customHeight="1" s="111">
      <c r="A865" s="93" t="n"/>
      <c r="B865" s="93" t="n"/>
      <c r="C865" s="93" t="n"/>
      <c r="D865" s="93" t="n"/>
      <c r="E865" s="93" t="n"/>
      <c r="F865" s="93" t="n"/>
      <c r="G865" s="93" t="n"/>
      <c r="H865" s="93" t="n"/>
      <c r="I865" s="93" t="n"/>
      <c r="J865" s="93" t="n"/>
      <c r="K865" s="93" t="n"/>
      <c r="L865" s="93" t="n"/>
      <c r="M865" s="93" t="n"/>
      <c r="N865" s="93" t="n"/>
      <c r="O865" s="93" t="n"/>
      <c r="P865" s="93" t="n"/>
      <c r="Q865" s="93" t="n"/>
      <c r="R865" s="93" t="n"/>
      <c r="S865" s="93" t="n"/>
      <c r="T865" s="93" t="n"/>
    </row>
    <row r="866" ht="12.75" customHeight="1" s="111">
      <c r="A866" s="93" t="n"/>
      <c r="B866" s="93" t="n"/>
      <c r="C866" s="93" t="n"/>
      <c r="D866" s="93" t="n"/>
      <c r="E866" s="93" t="n"/>
      <c r="F866" s="93" t="n"/>
      <c r="G866" s="93" t="n"/>
      <c r="H866" s="93" t="n"/>
      <c r="I866" s="93" t="n"/>
      <c r="J866" s="93" t="n"/>
      <c r="K866" s="93" t="n"/>
      <c r="L866" s="93" t="n"/>
      <c r="M866" s="93" t="n"/>
      <c r="N866" s="93" t="n"/>
      <c r="O866" s="93" t="n"/>
      <c r="P866" s="93" t="n"/>
      <c r="Q866" s="93" t="n"/>
      <c r="R866" s="93" t="n"/>
      <c r="S866" s="93" t="n"/>
      <c r="T866" s="93" t="n"/>
    </row>
    <row r="867" ht="12.75" customHeight="1" s="111">
      <c r="A867" s="93" t="n"/>
      <c r="B867" s="93" t="n"/>
      <c r="C867" s="93" t="n"/>
      <c r="D867" s="93" t="n"/>
      <c r="E867" s="93" t="n"/>
      <c r="F867" s="93" t="n"/>
      <c r="G867" s="93" t="n"/>
      <c r="H867" s="93" t="n"/>
      <c r="I867" s="93" t="n"/>
      <c r="J867" s="93" t="n"/>
      <c r="K867" s="93" t="n"/>
      <c r="L867" s="93" t="n"/>
      <c r="M867" s="93" t="n"/>
      <c r="N867" s="93" t="n"/>
      <c r="O867" s="93" t="n"/>
      <c r="P867" s="93" t="n"/>
      <c r="Q867" s="93" t="n"/>
      <c r="R867" s="93" t="n"/>
      <c r="S867" s="93" t="n"/>
      <c r="T867" s="93" t="n"/>
    </row>
    <row r="868" ht="12.75" customHeight="1" s="111">
      <c r="A868" s="93" t="n"/>
      <c r="B868" s="93" t="n"/>
      <c r="C868" s="93" t="n"/>
      <c r="D868" s="93" t="n"/>
      <c r="E868" s="93" t="n"/>
      <c r="F868" s="93" t="n"/>
      <c r="G868" s="93" t="n"/>
      <c r="H868" s="93" t="n"/>
      <c r="I868" s="93" t="n"/>
      <c r="J868" s="93" t="n"/>
      <c r="K868" s="93" t="n"/>
      <c r="L868" s="93" t="n"/>
      <c r="M868" s="93" t="n"/>
      <c r="N868" s="93" t="n"/>
      <c r="O868" s="93" t="n"/>
      <c r="P868" s="93" t="n"/>
      <c r="Q868" s="93" t="n"/>
      <c r="R868" s="93" t="n"/>
      <c r="S868" s="93" t="n"/>
      <c r="T868" s="93" t="n"/>
    </row>
    <row r="869" ht="12.75" customHeight="1" s="111">
      <c r="A869" s="93" t="n"/>
      <c r="B869" s="93" t="n"/>
      <c r="C869" s="93" t="n"/>
      <c r="D869" s="93" t="n"/>
      <c r="E869" s="93" t="n"/>
      <c r="F869" s="93" t="n"/>
      <c r="G869" s="93" t="n"/>
      <c r="H869" s="93" t="n"/>
      <c r="I869" s="93" t="n"/>
      <c r="J869" s="93" t="n"/>
      <c r="K869" s="93" t="n"/>
      <c r="L869" s="93" t="n"/>
      <c r="M869" s="93" t="n"/>
      <c r="N869" s="93" t="n"/>
      <c r="O869" s="93" t="n"/>
      <c r="P869" s="93" t="n"/>
      <c r="Q869" s="93" t="n"/>
      <c r="R869" s="93" t="n"/>
      <c r="S869" s="93" t="n"/>
      <c r="T869" s="93" t="n"/>
    </row>
    <row r="870" ht="12.75" customHeight="1" s="111">
      <c r="A870" s="93" t="n"/>
      <c r="B870" s="93" t="n"/>
      <c r="C870" s="93" t="n"/>
      <c r="D870" s="93" t="n"/>
      <c r="E870" s="93" t="n"/>
      <c r="F870" s="93" t="n"/>
      <c r="G870" s="93" t="n"/>
      <c r="H870" s="93" t="n"/>
      <c r="I870" s="93" t="n"/>
      <c r="J870" s="93" t="n"/>
      <c r="K870" s="93" t="n"/>
      <c r="L870" s="93" t="n"/>
      <c r="M870" s="93" t="n"/>
      <c r="N870" s="93" t="n"/>
      <c r="O870" s="93" t="n"/>
      <c r="P870" s="93" t="n"/>
      <c r="Q870" s="93" t="n"/>
      <c r="R870" s="93" t="n"/>
      <c r="S870" s="93" t="n"/>
      <c r="T870" s="93" t="n"/>
    </row>
    <row r="871" ht="12.75" customHeight="1" s="111">
      <c r="A871" s="93" t="n"/>
      <c r="B871" s="93" t="n"/>
      <c r="C871" s="93" t="n"/>
      <c r="D871" s="93" t="n"/>
      <c r="E871" s="93" t="n"/>
      <c r="F871" s="93" t="n"/>
      <c r="G871" s="93" t="n"/>
      <c r="H871" s="93" t="n"/>
      <c r="I871" s="93" t="n"/>
      <c r="J871" s="93" t="n"/>
      <c r="K871" s="93" t="n"/>
      <c r="L871" s="93" t="n"/>
      <c r="M871" s="93" t="n"/>
      <c r="N871" s="93" t="n"/>
      <c r="O871" s="93" t="n"/>
      <c r="P871" s="93" t="n"/>
      <c r="Q871" s="93" t="n"/>
      <c r="R871" s="93" t="n"/>
      <c r="S871" s="93" t="n"/>
      <c r="T871" s="93" t="n"/>
    </row>
    <row r="872" ht="12.75" customHeight="1" s="111">
      <c r="A872" s="93" t="n"/>
      <c r="B872" s="93" t="n"/>
      <c r="C872" s="93" t="n"/>
      <c r="D872" s="93" t="n"/>
      <c r="E872" s="93" t="n"/>
      <c r="F872" s="93" t="n"/>
      <c r="G872" s="93" t="n"/>
      <c r="H872" s="93" t="n"/>
      <c r="I872" s="93" t="n"/>
      <c r="J872" s="93" t="n"/>
      <c r="K872" s="93" t="n"/>
      <c r="L872" s="93" t="n"/>
      <c r="M872" s="93" t="n"/>
      <c r="N872" s="93" t="n"/>
      <c r="O872" s="93" t="n"/>
      <c r="P872" s="93" t="n"/>
      <c r="Q872" s="93" t="n"/>
      <c r="R872" s="93" t="n"/>
      <c r="S872" s="93" t="n"/>
      <c r="T872" s="93" t="n"/>
    </row>
    <row r="873" ht="12.75" customHeight="1" s="111">
      <c r="A873" s="93" t="n"/>
      <c r="B873" s="93" t="n"/>
      <c r="C873" s="93" t="n"/>
      <c r="D873" s="93" t="n"/>
      <c r="E873" s="93" t="n"/>
      <c r="F873" s="93" t="n"/>
      <c r="G873" s="93" t="n"/>
      <c r="H873" s="93" t="n"/>
      <c r="I873" s="93" t="n"/>
      <c r="J873" s="93" t="n"/>
      <c r="K873" s="93" t="n"/>
      <c r="L873" s="93" t="n"/>
      <c r="M873" s="93" t="n"/>
      <c r="N873" s="93" t="n"/>
      <c r="O873" s="93" t="n"/>
      <c r="P873" s="93" t="n"/>
      <c r="Q873" s="93" t="n"/>
      <c r="R873" s="93" t="n"/>
      <c r="S873" s="93" t="n"/>
      <c r="T873" s="93" t="n"/>
    </row>
    <row r="874" ht="12.75" customHeight="1" s="111">
      <c r="A874" s="93" t="n"/>
      <c r="B874" s="93" t="n"/>
      <c r="C874" s="93" t="n"/>
      <c r="D874" s="93" t="n"/>
      <c r="E874" s="93" t="n"/>
      <c r="F874" s="93" t="n"/>
      <c r="G874" s="93" t="n"/>
      <c r="H874" s="93" t="n"/>
      <c r="I874" s="93" t="n"/>
      <c r="J874" s="93" t="n"/>
      <c r="K874" s="93" t="n"/>
      <c r="L874" s="93" t="n"/>
      <c r="M874" s="93" t="n"/>
      <c r="N874" s="93" t="n"/>
      <c r="O874" s="93" t="n"/>
      <c r="P874" s="93" t="n"/>
      <c r="Q874" s="93" t="n"/>
      <c r="R874" s="93" t="n"/>
      <c r="S874" s="93" t="n"/>
      <c r="T874" s="93" t="n"/>
    </row>
    <row r="875" ht="12.75" customHeight="1" s="111">
      <c r="A875" s="93" t="n"/>
      <c r="B875" s="93" t="n"/>
      <c r="C875" s="93" t="n"/>
      <c r="D875" s="93" t="n"/>
      <c r="E875" s="93" t="n"/>
      <c r="F875" s="93" t="n"/>
      <c r="G875" s="93" t="n"/>
      <c r="H875" s="93" t="n"/>
      <c r="I875" s="93" t="n"/>
      <c r="J875" s="93" t="n"/>
      <c r="K875" s="93" t="n"/>
      <c r="L875" s="93" t="n"/>
      <c r="M875" s="93" t="n"/>
      <c r="N875" s="93" t="n"/>
      <c r="O875" s="93" t="n"/>
      <c r="P875" s="93" t="n"/>
      <c r="Q875" s="93" t="n"/>
      <c r="R875" s="93" t="n"/>
      <c r="S875" s="93" t="n"/>
      <c r="T875" s="93" t="n"/>
    </row>
    <row r="876" ht="12.75" customHeight="1" s="111">
      <c r="A876" s="93" t="n"/>
      <c r="B876" s="93" t="n"/>
      <c r="C876" s="93" t="n"/>
      <c r="D876" s="93" t="n"/>
      <c r="E876" s="93" t="n"/>
      <c r="F876" s="93" t="n"/>
      <c r="G876" s="93" t="n"/>
      <c r="H876" s="93" t="n"/>
      <c r="I876" s="93" t="n"/>
      <c r="J876" s="93" t="n"/>
      <c r="K876" s="93" t="n"/>
      <c r="L876" s="93" t="n"/>
      <c r="M876" s="93" t="n"/>
      <c r="N876" s="93" t="n"/>
      <c r="O876" s="93" t="n"/>
      <c r="P876" s="93" t="n"/>
      <c r="Q876" s="93" t="n"/>
      <c r="R876" s="93" t="n"/>
      <c r="S876" s="93" t="n"/>
      <c r="T876" s="93" t="n"/>
    </row>
    <row r="877" ht="12.75" customHeight="1" s="111">
      <c r="A877" s="93" t="n"/>
      <c r="B877" s="93" t="n"/>
      <c r="C877" s="93" t="n"/>
      <c r="D877" s="93" t="n"/>
      <c r="E877" s="93" t="n"/>
      <c r="F877" s="93" t="n"/>
      <c r="G877" s="93" t="n"/>
      <c r="H877" s="93" t="n"/>
      <c r="I877" s="93" t="n"/>
      <c r="J877" s="93" t="n"/>
      <c r="K877" s="93" t="n"/>
      <c r="L877" s="93" t="n"/>
      <c r="M877" s="93" t="n"/>
      <c r="N877" s="93" t="n"/>
      <c r="O877" s="93" t="n"/>
      <c r="P877" s="93" t="n"/>
      <c r="Q877" s="93" t="n"/>
      <c r="R877" s="93" t="n"/>
      <c r="S877" s="93" t="n"/>
      <c r="T877" s="93" t="n"/>
    </row>
    <row r="878" ht="12.75" customHeight="1" s="111">
      <c r="A878" s="93" t="n"/>
      <c r="B878" s="93" t="n"/>
      <c r="C878" s="93" t="n"/>
      <c r="D878" s="93" t="n"/>
      <c r="E878" s="93" t="n"/>
      <c r="F878" s="93" t="n"/>
      <c r="G878" s="93" t="n"/>
      <c r="H878" s="93" t="n"/>
      <c r="I878" s="93" t="n"/>
      <c r="J878" s="93" t="n"/>
      <c r="K878" s="93" t="n"/>
      <c r="L878" s="93" t="n"/>
      <c r="M878" s="93" t="n"/>
      <c r="N878" s="93" t="n"/>
      <c r="O878" s="93" t="n"/>
      <c r="P878" s="93" t="n"/>
      <c r="Q878" s="93" t="n"/>
      <c r="R878" s="93" t="n"/>
      <c r="S878" s="93" t="n"/>
      <c r="T878" s="93" t="n"/>
    </row>
    <row r="879" ht="12.75" customHeight="1" s="111">
      <c r="A879" s="93" t="n"/>
      <c r="B879" s="93" t="n"/>
      <c r="C879" s="93" t="n"/>
      <c r="D879" s="93" t="n"/>
      <c r="E879" s="93" t="n"/>
      <c r="F879" s="93" t="n"/>
      <c r="G879" s="93" t="n"/>
      <c r="H879" s="93" t="n"/>
      <c r="I879" s="93" t="n"/>
      <c r="J879" s="93" t="n"/>
      <c r="K879" s="93" t="n"/>
      <c r="L879" s="93" t="n"/>
      <c r="M879" s="93" t="n"/>
      <c r="N879" s="93" t="n"/>
      <c r="O879" s="93" t="n"/>
      <c r="P879" s="93" t="n"/>
      <c r="Q879" s="93" t="n"/>
      <c r="R879" s="93" t="n"/>
      <c r="S879" s="93" t="n"/>
      <c r="T879" s="93" t="n"/>
    </row>
    <row r="880" ht="12.75" customHeight="1" s="111">
      <c r="A880" s="93" t="n"/>
      <c r="B880" s="93" t="n"/>
      <c r="C880" s="93" t="n"/>
      <c r="D880" s="93" t="n"/>
      <c r="E880" s="93" t="n"/>
      <c r="F880" s="93" t="n"/>
      <c r="G880" s="93" t="n"/>
      <c r="H880" s="93" t="n"/>
      <c r="I880" s="93" t="n"/>
      <c r="J880" s="93" t="n"/>
      <c r="K880" s="93" t="n"/>
      <c r="L880" s="93" t="n"/>
      <c r="M880" s="93" t="n"/>
      <c r="N880" s="93" t="n"/>
      <c r="O880" s="93" t="n"/>
      <c r="P880" s="93" t="n"/>
      <c r="Q880" s="93" t="n"/>
      <c r="R880" s="93" t="n"/>
      <c r="S880" s="93" t="n"/>
      <c r="T880" s="93" t="n"/>
    </row>
    <row r="881" ht="12.75" customHeight="1" s="111">
      <c r="A881" s="93" t="n"/>
      <c r="B881" s="93" t="n"/>
      <c r="C881" s="93" t="n"/>
      <c r="D881" s="93" t="n"/>
      <c r="E881" s="93" t="n"/>
      <c r="F881" s="93" t="n"/>
      <c r="G881" s="93" t="n"/>
      <c r="H881" s="93" t="n"/>
      <c r="I881" s="93" t="n"/>
      <c r="J881" s="93" t="n"/>
      <c r="K881" s="93" t="n"/>
      <c r="L881" s="93" t="n"/>
      <c r="M881" s="93" t="n"/>
      <c r="N881" s="93" t="n"/>
      <c r="O881" s="93" t="n"/>
      <c r="P881" s="93" t="n"/>
      <c r="Q881" s="93" t="n"/>
      <c r="R881" s="93" t="n"/>
      <c r="S881" s="93" t="n"/>
      <c r="T881" s="93" t="n"/>
    </row>
    <row r="882" ht="12.75" customHeight="1" s="111">
      <c r="A882" s="93" t="n"/>
      <c r="B882" s="93" t="n"/>
      <c r="C882" s="93" t="n"/>
      <c r="D882" s="93" t="n"/>
      <c r="E882" s="93" t="n"/>
      <c r="F882" s="93" t="n"/>
      <c r="G882" s="93" t="n"/>
      <c r="H882" s="93" t="n"/>
      <c r="I882" s="93" t="n"/>
      <c r="J882" s="93" t="n"/>
      <c r="K882" s="93" t="n"/>
      <c r="L882" s="93" t="n"/>
      <c r="M882" s="93" t="n"/>
      <c r="N882" s="93" t="n"/>
      <c r="O882" s="93" t="n"/>
      <c r="P882" s="93" t="n"/>
      <c r="Q882" s="93" t="n"/>
      <c r="R882" s="93" t="n"/>
      <c r="S882" s="93" t="n"/>
      <c r="T882" s="93" t="n"/>
    </row>
    <row r="883" ht="12.75" customHeight="1" s="111">
      <c r="A883" s="93" t="n"/>
      <c r="B883" s="93" t="n"/>
      <c r="C883" s="93" t="n"/>
      <c r="D883" s="93" t="n"/>
      <c r="E883" s="93" t="n"/>
      <c r="F883" s="93" t="n"/>
      <c r="G883" s="93" t="n"/>
      <c r="H883" s="93" t="n"/>
      <c r="I883" s="93" t="n"/>
      <c r="J883" s="93" t="n"/>
      <c r="K883" s="93" t="n"/>
      <c r="L883" s="93" t="n"/>
      <c r="M883" s="93" t="n"/>
      <c r="N883" s="93" t="n"/>
      <c r="O883" s="93" t="n"/>
      <c r="P883" s="93" t="n"/>
      <c r="Q883" s="93" t="n"/>
      <c r="R883" s="93" t="n"/>
      <c r="S883" s="93" t="n"/>
      <c r="T883" s="93" t="n"/>
    </row>
    <row r="884" ht="12.75" customHeight="1" s="111">
      <c r="A884" s="93" t="n"/>
      <c r="B884" s="93" t="n"/>
      <c r="C884" s="93" t="n"/>
      <c r="D884" s="93" t="n"/>
      <c r="E884" s="93" t="n"/>
      <c r="F884" s="93" t="n"/>
      <c r="G884" s="93" t="n"/>
      <c r="H884" s="93" t="n"/>
      <c r="I884" s="93" t="n"/>
      <c r="J884" s="93" t="n"/>
      <c r="K884" s="93" t="n"/>
      <c r="L884" s="93" t="n"/>
      <c r="M884" s="93" t="n"/>
      <c r="N884" s="93" t="n"/>
      <c r="O884" s="93" t="n"/>
      <c r="P884" s="93" t="n"/>
      <c r="Q884" s="93" t="n"/>
      <c r="R884" s="93" t="n"/>
      <c r="S884" s="93" t="n"/>
      <c r="T884" s="93" t="n"/>
    </row>
    <row r="885" ht="12.75" customHeight="1" s="111">
      <c r="A885" s="93" t="n"/>
      <c r="B885" s="93" t="n"/>
      <c r="C885" s="93" t="n"/>
      <c r="D885" s="93" t="n"/>
      <c r="E885" s="93" t="n"/>
      <c r="F885" s="93" t="n"/>
      <c r="G885" s="93" t="n"/>
      <c r="H885" s="93" t="n"/>
      <c r="I885" s="93" t="n"/>
      <c r="J885" s="93" t="n"/>
      <c r="K885" s="93" t="n"/>
      <c r="L885" s="93" t="n"/>
      <c r="M885" s="93" t="n"/>
      <c r="N885" s="93" t="n"/>
      <c r="O885" s="93" t="n"/>
      <c r="P885" s="93" t="n"/>
      <c r="Q885" s="93" t="n"/>
      <c r="R885" s="93" t="n"/>
      <c r="S885" s="93" t="n"/>
      <c r="T885" s="93" t="n"/>
    </row>
    <row r="886" ht="12.75" customHeight="1" s="111">
      <c r="A886" s="93" t="n"/>
      <c r="B886" s="93" t="n"/>
      <c r="C886" s="93" t="n"/>
      <c r="D886" s="93" t="n"/>
      <c r="E886" s="93" t="n"/>
      <c r="F886" s="93" t="n"/>
      <c r="G886" s="93" t="n"/>
      <c r="H886" s="93" t="n"/>
      <c r="I886" s="93" t="n"/>
      <c r="J886" s="93" t="n"/>
      <c r="K886" s="93" t="n"/>
      <c r="L886" s="93" t="n"/>
      <c r="M886" s="93" t="n"/>
      <c r="N886" s="93" t="n"/>
      <c r="O886" s="93" t="n"/>
      <c r="P886" s="93" t="n"/>
      <c r="Q886" s="93" t="n"/>
      <c r="R886" s="93" t="n"/>
      <c r="S886" s="93" t="n"/>
      <c r="T886" s="93" t="n"/>
    </row>
    <row r="887" ht="12.75" customHeight="1" s="111">
      <c r="A887" s="93" t="n"/>
      <c r="B887" s="93" t="n"/>
      <c r="C887" s="93" t="n"/>
      <c r="D887" s="93" t="n"/>
      <c r="E887" s="93" t="n"/>
      <c r="F887" s="93" t="n"/>
      <c r="G887" s="93" t="n"/>
      <c r="H887" s="93" t="n"/>
      <c r="I887" s="93" t="n"/>
      <c r="J887" s="93" t="n"/>
      <c r="K887" s="93" t="n"/>
      <c r="L887" s="93" t="n"/>
      <c r="M887" s="93" t="n"/>
      <c r="N887" s="93" t="n"/>
      <c r="O887" s="93" t="n"/>
      <c r="P887" s="93" t="n"/>
      <c r="Q887" s="93" t="n"/>
      <c r="R887" s="93" t="n"/>
      <c r="S887" s="93" t="n"/>
      <c r="T887" s="93" t="n"/>
    </row>
    <row r="888" ht="12.75" customHeight="1" s="111">
      <c r="A888" s="93" t="n"/>
      <c r="B888" s="93" t="n"/>
      <c r="C888" s="93" t="n"/>
      <c r="D888" s="93" t="n"/>
      <c r="E888" s="93" t="n"/>
      <c r="F888" s="93" t="n"/>
      <c r="G888" s="93" t="n"/>
      <c r="H888" s="93" t="n"/>
      <c r="I888" s="93" t="n"/>
      <c r="J888" s="93" t="n"/>
      <c r="K888" s="93" t="n"/>
      <c r="L888" s="93" t="n"/>
      <c r="M888" s="93" t="n"/>
      <c r="N888" s="93" t="n"/>
      <c r="O888" s="93" t="n"/>
      <c r="P888" s="93" t="n"/>
      <c r="Q888" s="93" t="n"/>
      <c r="R888" s="93" t="n"/>
      <c r="S888" s="93" t="n"/>
      <c r="T888" s="93" t="n"/>
    </row>
    <row r="889" ht="12.75" customHeight="1" s="111">
      <c r="A889" s="93" t="n"/>
      <c r="B889" s="93" t="n"/>
      <c r="C889" s="93" t="n"/>
      <c r="D889" s="93" t="n"/>
      <c r="E889" s="93" t="n"/>
      <c r="F889" s="93" t="n"/>
      <c r="G889" s="93" t="n"/>
      <c r="H889" s="93" t="n"/>
      <c r="I889" s="93" t="n"/>
      <c r="J889" s="93" t="n"/>
      <c r="K889" s="93" t="n"/>
      <c r="L889" s="93" t="n"/>
      <c r="M889" s="93" t="n"/>
      <c r="N889" s="93" t="n"/>
      <c r="O889" s="93" t="n"/>
      <c r="P889" s="93" t="n"/>
      <c r="Q889" s="93" t="n"/>
      <c r="R889" s="93" t="n"/>
      <c r="S889" s="93" t="n"/>
      <c r="T889" s="93" t="n"/>
    </row>
    <row r="890" ht="12.75" customHeight="1" s="111">
      <c r="A890" s="93" t="n"/>
      <c r="B890" s="93" t="n"/>
      <c r="C890" s="93" t="n"/>
      <c r="D890" s="93" t="n"/>
      <c r="E890" s="93" t="n"/>
      <c r="F890" s="93" t="n"/>
      <c r="G890" s="93" t="n"/>
      <c r="H890" s="93" t="n"/>
      <c r="I890" s="93" t="n"/>
      <c r="J890" s="93" t="n"/>
      <c r="K890" s="93" t="n"/>
      <c r="L890" s="93" t="n"/>
      <c r="M890" s="93" t="n"/>
      <c r="N890" s="93" t="n"/>
      <c r="O890" s="93" t="n"/>
      <c r="P890" s="93" t="n"/>
      <c r="Q890" s="93" t="n"/>
      <c r="R890" s="93" t="n"/>
      <c r="S890" s="93" t="n"/>
      <c r="T890" s="93" t="n"/>
    </row>
    <row r="891" ht="12.75" customHeight="1" s="111">
      <c r="A891" s="93" t="n"/>
      <c r="B891" s="93" t="n"/>
      <c r="C891" s="93" t="n"/>
      <c r="D891" s="93" t="n"/>
      <c r="E891" s="93" t="n"/>
      <c r="F891" s="93" t="n"/>
      <c r="G891" s="93" t="n"/>
      <c r="H891" s="93" t="n"/>
      <c r="I891" s="93" t="n"/>
      <c r="J891" s="93" t="n"/>
      <c r="K891" s="93" t="n"/>
      <c r="L891" s="93" t="n"/>
      <c r="M891" s="93" t="n"/>
      <c r="N891" s="93" t="n"/>
      <c r="O891" s="93" t="n"/>
      <c r="P891" s="93" t="n"/>
      <c r="Q891" s="93" t="n"/>
      <c r="R891" s="93" t="n"/>
      <c r="S891" s="93" t="n"/>
      <c r="T891" s="93" t="n"/>
    </row>
    <row r="892" ht="12.75" customHeight="1" s="111">
      <c r="A892" s="93" t="n"/>
      <c r="B892" s="93" t="n"/>
      <c r="C892" s="93" t="n"/>
      <c r="D892" s="93" t="n"/>
      <c r="E892" s="93" t="n"/>
      <c r="F892" s="93" t="n"/>
      <c r="G892" s="93" t="n"/>
      <c r="H892" s="93" t="n"/>
      <c r="I892" s="93" t="n"/>
      <c r="J892" s="93" t="n"/>
      <c r="K892" s="93" t="n"/>
      <c r="L892" s="93" t="n"/>
      <c r="M892" s="93" t="n"/>
      <c r="N892" s="93" t="n"/>
      <c r="O892" s="93" t="n"/>
      <c r="P892" s="93" t="n"/>
      <c r="Q892" s="93" t="n"/>
      <c r="R892" s="93" t="n"/>
      <c r="S892" s="93" t="n"/>
      <c r="T892" s="93" t="n"/>
    </row>
    <row r="893" ht="12.75" customHeight="1" s="111">
      <c r="A893" s="93" t="n"/>
      <c r="B893" s="93" t="n"/>
      <c r="C893" s="93" t="n"/>
      <c r="D893" s="93" t="n"/>
      <c r="E893" s="93" t="n"/>
      <c r="F893" s="93" t="n"/>
      <c r="G893" s="93" t="n"/>
      <c r="H893" s="93" t="n"/>
      <c r="I893" s="93" t="n"/>
      <c r="J893" s="93" t="n"/>
      <c r="K893" s="93" t="n"/>
      <c r="L893" s="93" t="n"/>
      <c r="M893" s="93" t="n"/>
      <c r="N893" s="93" t="n"/>
      <c r="O893" s="93" t="n"/>
      <c r="P893" s="93" t="n"/>
      <c r="Q893" s="93" t="n"/>
      <c r="R893" s="93" t="n"/>
      <c r="S893" s="93" t="n"/>
      <c r="T893" s="93" t="n"/>
    </row>
    <row r="894" ht="12.75" customHeight="1" s="111">
      <c r="A894" s="93" t="n"/>
      <c r="B894" s="93" t="n"/>
      <c r="C894" s="93" t="n"/>
      <c r="D894" s="93" t="n"/>
      <c r="E894" s="93" t="n"/>
      <c r="F894" s="93" t="n"/>
      <c r="G894" s="93" t="n"/>
      <c r="H894" s="93" t="n"/>
      <c r="I894" s="93" t="n"/>
      <c r="J894" s="93" t="n"/>
      <c r="K894" s="93" t="n"/>
      <c r="L894" s="93" t="n"/>
      <c r="M894" s="93" t="n"/>
      <c r="N894" s="93" t="n"/>
      <c r="O894" s="93" t="n"/>
      <c r="P894" s="93" t="n"/>
      <c r="Q894" s="93" t="n"/>
      <c r="R894" s="93" t="n"/>
      <c r="S894" s="93" t="n"/>
      <c r="T894" s="93" t="n"/>
    </row>
    <row r="895" ht="12.75" customHeight="1" s="111">
      <c r="A895" s="93" t="n"/>
      <c r="B895" s="93" t="n"/>
      <c r="C895" s="93" t="n"/>
      <c r="D895" s="93" t="n"/>
      <c r="E895" s="93" t="n"/>
      <c r="F895" s="93" t="n"/>
      <c r="G895" s="93" t="n"/>
      <c r="H895" s="93" t="n"/>
      <c r="I895" s="93" t="n"/>
      <c r="J895" s="93" t="n"/>
      <c r="K895" s="93" t="n"/>
      <c r="L895" s="93" t="n"/>
      <c r="M895" s="93" t="n"/>
      <c r="N895" s="93" t="n"/>
      <c r="O895" s="93" t="n"/>
      <c r="P895" s="93" t="n"/>
      <c r="Q895" s="93" t="n"/>
      <c r="R895" s="93" t="n"/>
      <c r="S895" s="93" t="n"/>
      <c r="T895" s="93" t="n"/>
    </row>
    <row r="896" ht="12.75" customHeight="1" s="111">
      <c r="A896" s="93" t="n"/>
      <c r="B896" s="93" t="n"/>
      <c r="C896" s="93" t="n"/>
      <c r="D896" s="93" t="n"/>
      <c r="E896" s="93" t="n"/>
      <c r="F896" s="93" t="n"/>
      <c r="G896" s="93" t="n"/>
      <c r="H896" s="93" t="n"/>
      <c r="I896" s="93" t="n"/>
      <c r="J896" s="93" t="n"/>
      <c r="K896" s="93" t="n"/>
      <c r="L896" s="93" t="n"/>
      <c r="M896" s="93" t="n"/>
      <c r="N896" s="93" t="n"/>
      <c r="O896" s="93" t="n"/>
      <c r="P896" s="93" t="n"/>
      <c r="Q896" s="93" t="n"/>
      <c r="R896" s="93" t="n"/>
      <c r="S896" s="93" t="n"/>
      <c r="T896" s="93" t="n"/>
    </row>
    <row r="897" ht="12.75" customHeight="1" s="111">
      <c r="A897" s="93" t="n"/>
      <c r="B897" s="93" t="n"/>
      <c r="C897" s="93" t="n"/>
      <c r="D897" s="93" t="n"/>
      <c r="E897" s="93" t="n"/>
      <c r="F897" s="93" t="n"/>
      <c r="G897" s="93" t="n"/>
      <c r="H897" s="93" t="n"/>
      <c r="I897" s="93" t="n"/>
      <c r="J897" s="93" t="n"/>
      <c r="K897" s="93" t="n"/>
      <c r="L897" s="93" t="n"/>
      <c r="M897" s="93" t="n"/>
      <c r="N897" s="93" t="n"/>
      <c r="O897" s="93" t="n"/>
      <c r="P897" s="93" t="n"/>
      <c r="Q897" s="93" t="n"/>
      <c r="R897" s="93" t="n"/>
      <c r="S897" s="93" t="n"/>
      <c r="T897" s="93" t="n"/>
    </row>
    <row r="898" ht="12.75" customHeight="1" s="111">
      <c r="A898" s="93" t="n"/>
      <c r="B898" s="93" t="n"/>
      <c r="C898" s="93" t="n"/>
      <c r="D898" s="93" t="n"/>
      <c r="E898" s="93" t="n"/>
      <c r="F898" s="93" t="n"/>
      <c r="G898" s="93" t="n"/>
      <c r="H898" s="93" t="n"/>
      <c r="I898" s="93" t="n"/>
      <c r="J898" s="93" t="n"/>
      <c r="K898" s="93" t="n"/>
      <c r="L898" s="93" t="n"/>
      <c r="M898" s="93" t="n"/>
      <c r="N898" s="93" t="n"/>
      <c r="O898" s="93" t="n"/>
      <c r="P898" s="93" t="n"/>
      <c r="Q898" s="93" t="n"/>
      <c r="R898" s="93" t="n"/>
      <c r="S898" s="93" t="n"/>
      <c r="T898" s="93" t="n"/>
    </row>
    <row r="899" ht="12.75" customHeight="1" s="111">
      <c r="A899" s="93" t="n"/>
      <c r="B899" s="93" t="n"/>
      <c r="C899" s="93" t="n"/>
      <c r="D899" s="93" t="n"/>
      <c r="E899" s="93" t="n"/>
      <c r="F899" s="93" t="n"/>
      <c r="G899" s="93" t="n"/>
      <c r="H899" s="93" t="n"/>
      <c r="I899" s="93" t="n"/>
      <c r="J899" s="93" t="n"/>
      <c r="K899" s="93" t="n"/>
      <c r="L899" s="93" t="n"/>
      <c r="M899" s="93" t="n"/>
      <c r="N899" s="93" t="n"/>
      <c r="O899" s="93" t="n"/>
      <c r="P899" s="93" t="n"/>
      <c r="Q899" s="93" t="n"/>
      <c r="R899" s="93" t="n"/>
      <c r="S899" s="93" t="n"/>
      <c r="T899" s="93" t="n"/>
    </row>
    <row r="900" ht="12.75" customHeight="1" s="111">
      <c r="A900" s="93" t="n"/>
      <c r="B900" s="93" t="n"/>
      <c r="C900" s="93" t="n"/>
      <c r="D900" s="93" t="n"/>
      <c r="E900" s="93" t="n"/>
      <c r="F900" s="93" t="n"/>
      <c r="G900" s="93" t="n"/>
      <c r="H900" s="93" t="n"/>
      <c r="I900" s="93" t="n"/>
      <c r="J900" s="93" t="n"/>
      <c r="K900" s="93" t="n"/>
      <c r="L900" s="93" t="n"/>
      <c r="M900" s="93" t="n"/>
      <c r="N900" s="93" t="n"/>
      <c r="O900" s="93" t="n"/>
      <c r="P900" s="93" t="n"/>
      <c r="Q900" s="93" t="n"/>
      <c r="R900" s="93" t="n"/>
      <c r="S900" s="93" t="n"/>
      <c r="T900" s="93" t="n"/>
    </row>
    <row r="901" ht="12.75" customHeight="1" s="111">
      <c r="A901" s="93" t="n"/>
      <c r="B901" s="93" t="n"/>
      <c r="C901" s="93" t="n"/>
      <c r="D901" s="93" t="n"/>
      <c r="E901" s="93" t="n"/>
      <c r="F901" s="93" t="n"/>
      <c r="G901" s="93" t="n"/>
      <c r="H901" s="93" t="n"/>
      <c r="I901" s="93" t="n"/>
      <c r="J901" s="93" t="n"/>
      <c r="K901" s="93" t="n"/>
      <c r="L901" s="93" t="n"/>
      <c r="M901" s="93" t="n"/>
      <c r="N901" s="93" t="n"/>
      <c r="O901" s="93" t="n"/>
      <c r="P901" s="93" t="n"/>
      <c r="Q901" s="93" t="n"/>
      <c r="R901" s="93" t="n"/>
      <c r="S901" s="93" t="n"/>
      <c r="T901" s="93" t="n"/>
    </row>
    <row r="902" ht="12.75" customHeight="1" s="111">
      <c r="A902" s="93" t="n"/>
      <c r="B902" s="93" t="n"/>
      <c r="C902" s="93" t="n"/>
      <c r="D902" s="93" t="n"/>
      <c r="E902" s="93" t="n"/>
      <c r="F902" s="93" t="n"/>
      <c r="G902" s="93" t="n"/>
      <c r="H902" s="93" t="n"/>
      <c r="I902" s="93" t="n"/>
      <c r="J902" s="93" t="n"/>
      <c r="K902" s="93" t="n"/>
      <c r="L902" s="93" t="n"/>
      <c r="M902" s="93" t="n"/>
      <c r="N902" s="93" t="n"/>
      <c r="O902" s="93" t="n"/>
      <c r="P902" s="93" t="n"/>
      <c r="Q902" s="93" t="n"/>
      <c r="R902" s="93" t="n"/>
      <c r="S902" s="93" t="n"/>
      <c r="T902" s="93" t="n"/>
    </row>
    <row r="903" ht="12.75" customHeight="1" s="111">
      <c r="A903" s="93" t="n"/>
      <c r="B903" s="93" t="n"/>
      <c r="C903" s="93" t="n"/>
      <c r="D903" s="93" t="n"/>
      <c r="E903" s="93" t="n"/>
      <c r="F903" s="93" t="n"/>
      <c r="G903" s="93" t="n"/>
      <c r="H903" s="93" t="n"/>
      <c r="I903" s="93" t="n"/>
      <c r="J903" s="93" t="n"/>
      <c r="K903" s="93" t="n"/>
      <c r="L903" s="93" t="n"/>
      <c r="M903" s="93" t="n"/>
      <c r="N903" s="93" t="n"/>
      <c r="O903" s="93" t="n"/>
      <c r="P903" s="93" t="n"/>
      <c r="Q903" s="93" t="n"/>
      <c r="R903" s="93" t="n"/>
      <c r="S903" s="93" t="n"/>
      <c r="T903" s="93" t="n"/>
    </row>
    <row r="904" ht="12.75" customHeight="1" s="111">
      <c r="A904" s="93" t="n"/>
      <c r="B904" s="93" t="n"/>
      <c r="C904" s="93" t="n"/>
      <c r="D904" s="93" t="n"/>
      <c r="E904" s="93" t="n"/>
      <c r="F904" s="93" t="n"/>
      <c r="G904" s="93" t="n"/>
      <c r="H904" s="93" t="n"/>
      <c r="I904" s="93" t="n"/>
      <c r="J904" s="93" t="n"/>
      <c r="K904" s="93" t="n"/>
      <c r="L904" s="93" t="n"/>
      <c r="M904" s="93" t="n"/>
      <c r="N904" s="93" t="n"/>
      <c r="O904" s="93" t="n"/>
      <c r="P904" s="93" t="n"/>
      <c r="Q904" s="93" t="n"/>
      <c r="R904" s="93" t="n"/>
      <c r="S904" s="93" t="n"/>
      <c r="T904" s="93" t="n"/>
    </row>
    <row r="905" ht="12.75" customHeight="1" s="111">
      <c r="A905" s="93" t="n"/>
      <c r="B905" s="93" t="n"/>
      <c r="C905" s="93" t="n"/>
      <c r="D905" s="93" t="n"/>
      <c r="E905" s="93" t="n"/>
      <c r="F905" s="93" t="n"/>
      <c r="G905" s="93" t="n"/>
      <c r="H905" s="93" t="n"/>
      <c r="I905" s="93" t="n"/>
      <c r="J905" s="93" t="n"/>
      <c r="K905" s="93" t="n"/>
      <c r="L905" s="93" t="n"/>
      <c r="M905" s="93" t="n"/>
      <c r="N905" s="93" t="n"/>
      <c r="O905" s="93" t="n"/>
      <c r="P905" s="93" t="n"/>
      <c r="Q905" s="93" t="n"/>
      <c r="R905" s="93" t="n"/>
      <c r="S905" s="93" t="n"/>
      <c r="T905" s="93" t="n"/>
    </row>
    <row r="906" ht="12.75" customHeight="1" s="111">
      <c r="A906" s="93" t="n"/>
      <c r="B906" s="93" t="n"/>
      <c r="C906" s="93" t="n"/>
      <c r="D906" s="93" t="n"/>
      <c r="E906" s="93" t="n"/>
      <c r="F906" s="93" t="n"/>
      <c r="G906" s="93" t="n"/>
      <c r="H906" s="93" t="n"/>
      <c r="I906" s="93" t="n"/>
      <c r="J906" s="93" t="n"/>
      <c r="K906" s="93" t="n"/>
      <c r="L906" s="93" t="n"/>
      <c r="M906" s="93" t="n"/>
      <c r="N906" s="93" t="n"/>
      <c r="O906" s="93" t="n"/>
      <c r="P906" s="93" t="n"/>
      <c r="Q906" s="93" t="n"/>
      <c r="R906" s="93" t="n"/>
      <c r="S906" s="93" t="n"/>
      <c r="T906" s="93" t="n"/>
    </row>
    <row r="907" ht="12.75" customHeight="1" s="111">
      <c r="A907" s="93" t="n"/>
      <c r="B907" s="93" t="n"/>
      <c r="C907" s="93" t="n"/>
      <c r="D907" s="93" t="n"/>
      <c r="E907" s="93" t="n"/>
      <c r="F907" s="93" t="n"/>
      <c r="G907" s="93" t="n"/>
      <c r="H907" s="93" t="n"/>
      <c r="I907" s="93" t="n"/>
      <c r="J907" s="93" t="n"/>
      <c r="K907" s="93" t="n"/>
      <c r="L907" s="93" t="n"/>
      <c r="M907" s="93" t="n"/>
      <c r="N907" s="93" t="n"/>
      <c r="O907" s="93" t="n"/>
      <c r="P907" s="93" t="n"/>
      <c r="Q907" s="93" t="n"/>
      <c r="R907" s="93" t="n"/>
      <c r="S907" s="93" t="n"/>
      <c r="T907" s="93" t="n"/>
    </row>
    <row r="908" ht="12.75" customHeight="1" s="111">
      <c r="A908" s="93" t="n"/>
      <c r="B908" s="93" t="n"/>
      <c r="C908" s="93" t="n"/>
      <c r="D908" s="93" t="n"/>
      <c r="E908" s="93" t="n"/>
      <c r="F908" s="93" t="n"/>
      <c r="G908" s="93" t="n"/>
      <c r="H908" s="93" t="n"/>
      <c r="I908" s="93" t="n"/>
      <c r="J908" s="93" t="n"/>
      <c r="K908" s="93" t="n"/>
      <c r="L908" s="93" t="n"/>
      <c r="M908" s="93" t="n"/>
      <c r="N908" s="93" t="n"/>
      <c r="O908" s="93" t="n"/>
      <c r="P908" s="93" t="n"/>
      <c r="Q908" s="93" t="n"/>
      <c r="R908" s="93" t="n"/>
      <c r="S908" s="93" t="n"/>
      <c r="T908" s="93" t="n"/>
    </row>
    <row r="909" ht="12.75" customHeight="1" s="111">
      <c r="A909" s="93" t="n"/>
      <c r="B909" s="93" t="n"/>
      <c r="C909" s="93" t="n"/>
      <c r="D909" s="93" t="n"/>
      <c r="E909" s="93" t="n"/>
      <c r="F909" s="93" t="n"/>
      <c r="G909" s="93" t="n"/>
      <c r="H909" s="93" t="n"/>
      <c r="I909" s="93" t="n"/>
      <c r="J909" s="93" t="n"/>
      <c r="K909" s="93" t="n"/>
      <c r="L909" s="93" t="n"/>
      <c r="M909" s="93" t="n"/>
      <c r="N909" s="93" t="n"/>
      <c r="O909" s="93" t="n"/>
      <c r="P909" s="93" t="n"/>
      <c r="Q909" s="93" t="n"/>
      <c r="R909" s="93" t="n"/>
      <c r="S909" s="93" t="n"/>
      <c r="T909" s="93" t="n"/>
    </row>
    <row r="910" ht="12.75" customHeight="1" s="111">
      <c r="A910" s="93" t="n"/>
      <c r="B910" s="93" t="n"/>
      <c r="C910" s="93" t="n"/>
      <c r="D910" s="93" t="n"/>
      <c r="E910" s="93" t="n"/>
      <c r="F910" s="93" t="n"/>
      <c r="G910" s="93" t="n"/>
      <c r="H910" s="93" t="n"/>
      <c r="I910" s="93" t="n"/>
      <c r="J910" s="93" t="n"/>
      <c r="K910" s="93" t="n"/>
      <c r="L910" s="93" t="n"/>
      <c r="M910" s="93" t="n"/>
      <c r="N910" s="93" t="n"/>
      <c r="O910" s="93" t="n"/>
      <c r="P910" s="93" t="n"/>
      <c r="Q910" s="93" t="n"/>
      <c r="R910" s="93" t="n"/>
      <c r="S910" s="93" t="n"/>
      <c r="T910" s="93" t="n"/>
    </row>
    <row r="911" ht="12.75" customHeight="1" s="111">
      <c r="A911" s="93" t="n"/>
      <c r="B911" s="93" t="n"/>
      <c r="C911" s="93" t="n"/>
      <c r="D911" s="93" t="n"/>
      <c r="E911" s="93" t="n"/>
      <c r="F911" s="93" t="n"/>
      <c r="G911" s="93" t="n"/>
      <c r="H911" s="93" t="n"/>
      <c r="I911" s="93" t="n"/>
      <c r="J911" s="93" t="n"/>
      <c r="K911" s="93" t="n"/>
      <c r="L911" s="93" t="n"/>
      <c r="M911" s="93" t="n"/>
      <c r="N911" s="93" t="n"/>
      <c r="O911" s="93" t="n"/>
      <c r="P911" s="93" t="n"/>
      <c r="Q911" s="93" t="n"/>
      <c r="R911" s="93" t="n"/>
      <c r="S911" s="93" t="n"/>
      <c r="T911" s="93" t="n"/>
    </row>
    <row r="912" ht="12.75" customHeight="1" s="111">
      <c r="A912" s="93" t="n"/>
      <c r="B912" s="93" t="n"/>
      <c r="C912" s="93" t="n"/>
      <c r="D912" s="93" t="n"/>
      <c r="E912" s="93" t="n"/>
      <c r="F912" s="93" t="n"/>
      <c r="G912" s="93" t="n"/>
      <c r="H912" s="93" t="n"/>
      <c r="I912" s="93" t="n"/>
      <c r="J912" s="93" t="n"/>
      <c r="K912" s="93" t="n"/>
      <c r="L912" s="93" t="n"/>
      <c r="M912" s="93" t="n"/>
      <c r="N912" s="93" t="n"/>
      <c r="O912" s="93" t="n"/>
      <c r="P912" s="93" t="n"/>
      <c r="Q912" s="93" t="n"/>
      <c r="R912" s="93" t="n"/>
      <c r="S912" s="93" t="n"/>
      <c r="T912" s="93" t="n"/>
    </row>
    <row r="913" ht="12.75" customHeight="1" s="111">
      <c r="A913" s="93" t="n"/>
      <c r="B913" s="93" t="n"/>
      <c r="C913" s="93" t="n"/>
      <c r="D913" s="93" t="n"/>
      <c r="E913" s="93" t="n"/>
      <c r="F913" s="93" t="n"/>
      <c r="G913" s="93" t="n"/>
      <c r="H913" s="93" t="n"/>
      <c r="I913" s="93" t="n"/>
      <c r="J913" s="93" t="n"/>
      <c r="K913" s="93" t="n"/>
      <c r="L913" s="93" t="n"/>
      <c r="M913" s="93" t="n"/>
      <c r="N913" s="93" t="n"/>
      <c r="O913" s="93" t="n"/>
      <c r="P913" s="93" t="n"/>
      <c r="Q913" s="93" t="n"/>
      <c r="R913" s="93" t="n"/>
      <c r="S913" s="93" t="n"/>
      <c r="T913" s="93" t="n"/>
    </row>
    <row r="914" ht="12.75" customHeight="1" s="111">
      <c r="A914" s="93" t="n"/>
      <c r="B914" s="93" t="n"/>
      <c r="C914" s="93" t="n"/>
      <c r="D914" s="93" t="n"/>
      <c r="E914" s="93" t="n"/>
      <c r="F914" s="93" t="n"/>
      <c r="G914" s="93" t="n"/>
      <c r="H914" s="93" t="n"/>
      <c r="I914" s="93" t="n"/>
      <c r="J914" s="93" t="n"/>
      <c r="K914" s="93" t="n"/>
      <c r="L914" s="93" t="n"/>
      <c r="M914" s="93" t="n"/>
      <c r="N914" s="93" t="n"/>
      <c r="O914" s="93" t="n"/>
      <c r="P914" s="93" t="n"/>
      <c r="Q914" s="93" t="n"/>
      <c r="R914" s="93" t="n"/>
      <c r="S914" s="93" t="n"/>
      <c r="T914" s="93" t="n"/>
    </row>
    <row r="915" ht="12.75" customHeight="1" s="111">
      <c r="A915" s="93" t="n"/>
      <c r="B915" s="93" t="n"/>
      <c r="C915" s="93" t="n"/>
      <c r="D915" s="93" t="n"/>
      <c r="E915" s="93" t="n"/>
      <c r="F915" s="93" t="n"/>
      <c r="G915" s="93" t="n"/>
      <c r="H915" s="93" t="n"/>
      <c r="I915" s="93" t="n"/>
      <c r="J915" s="93" t="n"/>
      <c r="K915" s="93" t="n"/>
      <c r="L915" s="93" t="n"/>
      <c r="M915" s="93" t="n"/>
      <c r="N915" s="93" t="n"/>
      <c r="O915" s="93" t="n"/>
      <c r="P915" s="93" t="n"/>
      <c r="Q915" s="93" t="n"/>
      <c r="R915" s="93" t="n"/>
      <c r="S915" s="93" t="n"/>
      <c r="T915" s="93" t="n"/>
    </row>
    <row r="916" ht="12.75" customHeight="1" s="111">
      <c r="A916" s="93" t="n"/>
      <c r="B916" s="93" t="n"/>
      <c r="C916" s="93" t="n"/>
      <c r="D916" s="93" t="n"/>
      <c r="E916" s="93" t="n"/>
      <c r="F916" s="93" t="n"/>
      <c r="G916" s="93" t="n"/>
      <c r="H916" s="93" t="n"/>
      <c r="I916" s="93" t="n"/>
      <c r="J916" s="93" t="n"/>
      <c r="K916" s="93" t="n"/>
      <c r="L916" s="93" t="n"/>
      <c r="M916" s="93" t="n"/>
      <c r="N916" s="93" t="n"/>
      <c r="O916" s="93" t="n"/>
      <c r="P916" s="93" t="n"/>
      <c r="Q916" s="93" t="n"/>
      <c r="R916" s="93" t="n"/>
      <c r="S916" s="93" t="n"/>
      <c r="T916" s="93" t="n"/>
    </row>
    <row r="917" ht="12.75" customHeight="1" s="111">
      <c r="A917" s="93" t="n"/>
      <c r="B917" s="93" t="n"/>
      <c r="C917" s="93" t="n"/>
      <c r="D917" s="93" t="n"/>
      <c r="E917" s="93" t="n"/>
      <c r="F917" s="93" t="n"/>
      <c r="G917" s="93" t="n"/>
      <c r="H917" s="93" t="n"/>
      <c r="I917" s="93" t="n"/>
      <c r="J917" s="93" t="n"/>
      <c r="K917" s="93" t="n"/>
      <c r="L917" s="93" t="n"/>
      <c r="M917" s="93" t="n"/>
      <c r="N917" s="93" t="n"/>
      <c r="O917" s="93" t="n"/>
      <c r="P917" s="93" t="n"/>
      <c r="Q917" s="93" t="n"/>
      <c r="R917" s="93" t="n"/>
      <c r="S917" s="93" t="n"/>
      <c r="T917" s="93" t="n"/>
    </row>
    <row r="918" ht="12.75" customHeight="1" s="111">
      <c r="A918" s="93" t="n"/>
      <c r="B918" s="93" t="n"/>
      <c r="C918" s="93" t="n"/>
      <c r="D918" s="93" t="n"/>
      <c r="E918" s="93" t="n"/>
      <c r="F918" s="93" t="n"/>
      <c r="G918" s="93" t="n"/>
      <c r="H918" s="93" t="n"/>
      <c r="I918" s="93" t="n"/>
      <c r="J918" s="93" t="n"/>
      <c r="K918" s="93" t="n"/>
      <c r="L918" s="93" t="n"/>
      <c r="M918" s="93" t="n"/>
      <c r="N918" s="93" t="n"/>
      <c r="O918" s="93" t="n"/>
      <c r="P918" s="93" t="n"/>
      <c r="Q918" s="93" t="n"/>
      <c r="R918" s="93" t="n"/>
      <c r="S918" s="93" t="n"/>
      <c r="T918" s="93" t="n"/>
    </row>
    <row r="919" ht="12.75" customHeight="1" s="111">
      <c r="A919" s="93" t="n"/>
      <c r="B919" s="93" t="n"/>
      <c r="C919" s="93" t="n"/>
      <c r="D919" s="93" t="n"/>
      <c r="E919" s="93" t="n"/>
      <c r="F919" s="93" t="n"/>
      <c r="G919" s="93" t="n"/>
      <c r="H919" s="93" t="n"/>
      <c r="I919" s="93" t="n"/>
      <c r="J919" s="93" t="n"/>
      <c r="K919" s="93" t="n"/>
      <c r="L919" s="93" t="n"/>
      <c r="M919" s="93" t="n"/>
      <c r="N919" s="93" t="n"/>
      <c r="O919" s="93" t="n"/>
      <c r="P919" s="93" t="n"/>
      <c r="Q919" s="93" t="n"/>
      <c r="R919" s="93" t="n"/>
      <c r="S919" s="93" t="n"/>
      <c r="T919" s="93" t="n"/>
    </row>
    <row r="920" ht="12.75" customHeight="1" s="111">
      <c r="A920" s="93" t="n"/>
      <c r="B920" s="93" t="n"/>
      <c r="C920" s="93" t="n"/>
      <c r="D920" s="93" t="n"/>
      <c r="E920" s="93" t="n"/>
      <c r="F920" s="93" t="n"/>
      <c r="G920" s="93" t="n"/>
      <c r="H920" s="93" t="n"/>
      <c r="I920" s="93" t="n"/>
      <c r="J920" s="93" t="n"/>
      <c r="K920" s="93" t="n"/>
      <c r="L920" s="93" t="n"/>
      <c r="M920" s="93" t="n"/>
      <c r="N920" s="93" t="n"/>
      <c r="O920" s="93" t="n"/>
      <c r="P920" s="93" t="n"/>
      <c r="Q920" s="93" t="n"/>
      <c r="R920" s="93" t="n"/>
      <c r="S920" s="93" t="n"/>
      <c r="T920" s="93" t="n"/>
    </row>
    <row r="921" ht="12.75" customHeight="1" s="111">
      <c r="A921" s="93" t="n"/>
      <c r="B921" s="93" t="n"/>
      <c r="C921" s="93" t="n"/>
      <c r="D921" s="93" t="n"/>
      <c r="E921" s="93" t="n"/>
      <c r="F921" s="93" t="n"/>
      <c r="G921" s="93" t="n"/>
      <c r="H921" s="93" t="n"/>
      <c r="I921" s="93" t="n"/>
      <c r="J921" s="93" t="n"/>
      <c r="K921" s="93" t="n"/>
      <c r="L921" s="93" t="n"/>
      <c r="M921" s="93" t="n"/>
      <c r="N921" s="93" t="n"/>
      <c r="O921" s="93" t="n"/>
      <c r="P921" s="93" t="n"/>
      <c r="Q921" s="93" t="n"/>
      <c r="R921" s="93" t="n"/>
      <c r="S921" s="93" t="n"/>
      <c r="T921" s="93" t="n"/>
    </row>
    <row r="922" ht="12.75" customHeight="1" s="111">
      <c r="A922" s="93" t="n"/>
      <c r="B922" s="93" t="n"/>
      <c r="C922" s="93" t="n"/>
      <c r="D922" s="93" t="n"/>
      <c r="E922" s="93" t="n"/>
      <c r="F922" s="93" t="n"/>
      <c r="G922" s="93" t="n"/>
      <c r="H922" s="93" t="n"/>
      <c r="I922" s="93" t="n"/>
      <c r="J922" s="93" t="n"/>
      <c r="K922" s="93" t="n"/>
      <c r="L922" s="93" t="n"/>
      <c r="M922" s="93" t="n"/>
      <c r="N922" s="93" t="n"/>
      <c r="O922" s="93" t="n"/>
      <c r="P922" s="93" t="n"/>
      <c r="Q922" s="93" t="n"/>
      <c r="R922" s="93" t="n"/>
      <c r="S922" s="93" t="n"/>
      <c r="T922" s="93" t="n"/>
    </row>
    <row r="923" ht="12.75" customHeight="1" s="111">
      <c r="A923" s="93" t="n"/>
      <c r="B923" s="93" t="n"/>
      <c r="C923" s="93" t="n"/>
      <c r="D923" s="93" t="n"/>
      <c r="E923" s="93" t="n"/>
      <c r="F923" s="93" t="n"/>
      <c r="G923" s="93" t="n"/>
      <c r="H923" s="93" t="n"/>
      <c r="I923" s="93" t="n"/>
      <c r="J923" s="93" t="n"/>
      <c r="K923" s="93" t="n"/>
      <c r="L923" s="93" t="n"/>
      <c r="M923" s="93" t="n"/>
      <c r="N923" s="93" t="n"/>
      <c r="O923" s="93" t="n"/>
      <c r="P923" s="93" t="n"/>
      <c r="Q923" s="93" t="n"/>
      <c r="R923" s="93" t="n"/>
      <c r="S923" s="93" t="n"/>
      <c r="T923" s="93" t="n"/>
    </row>
    <row r="924" ht="12.75" customHeight="1" s="111">
      <c r="A924" s="93" t="n"/>
      <c r="B924" s="93" t="n"/>
      <c r="C924" s="93" t="n"/>
      <c r="D924" s="93" t="n"/>
      <c r="E924" s="93" t="n"/>
      <c r="F924" s="93" t="n"/>
      <c r="G924" s="93" t="n"/>
      <c r="H924" s="93" t="n"/>
      <c r="I924" s="93" t="n"/>
      <c r="J924" s="93" t="n"/>
      <c r="K924" s="93" t="n"/>
      <c r="L924" s="93" t="n"/>
      <c r="M924" s="93" t="n"/>
      <c r="N924" s="93" t="n"/>
      <c r="O924" s="93" t="n"/>
      <c r="P924" s="93" t="n"/>
      <c r="Q924" s="93" t="n"/>
      <c r="R924" s="93" t="n"/>
      <c r="S924" s="93" t="n"/>
      <c r="T924" s="93" t="n"/>
    </row>
    <row r="925" ht="12.75" customHeight="1" s="111">
      <c r="A925" s="93" t="n"/>
      <c r="B925" s="93" t="n"/>
      <c r="C925" s="93" t="n"/>
      <c r="D925" s="93" t="n"/>
      <c r="E925" s="93" t="n"/>
      <c r="F925" s="93" t="n"/>
      <c r="G925" s="93" t="n"/>
      <c r="H925" s="93" t="n"/>
      <c r="I925" s="93" t="n"/>
      <c r="J925" s="93" t="n"/>
      <c r="K925" s="93" t="n"/>
      <c r="L925" s="93" t="n"/>
      <c r="M925" s="93" t="n"/>
      <c r="N925" s="93" t="n"/>
      <c r="O925" s="93" t="n"/>
      <c r="P925" s="93" t="n"/>
      <c r="Q925" s="93" t="n"/>
      <c r="R925" s="93" t="n"/>
      <c r="S925" s="93" t="n"/>
      <c r="T925" s="93" t="n"/>
    </row>
    <row r="926" ht="12.75" customHeight="1" s="111">
      <c r="A926" s="93" t="n"/>
      <c r="B926" s="93" t="n"/>
      <c r="C926" s="93" t="n"/>
      <c r="D926" s="93" t="n"/>
      <c r="E926" s="93" t="n"/>
      <c r="F926" s="93" t="n"/>
      <c r="G926" s="93" t="n"/>
      <c r="H926" s="93" t="n"/>
      <c r="I926" s="93" t="n"/>
      <c r="J926" s="93" t="n"/>
      <c r="K926" s="93" t="n"/>
      <c r="L926" s="93" t="n"/>
      <c r="M926" s="93" t="n"/>
      <c r="N926" s="93" t="n"/>
      <c r="O926" s="93" t="n"/>
      <c r="P926" s="93" t="n"/>
      <c r="Q926" s="93" t="n"/>
      <c r="R926" s="93" t="n"/>
      <c r="S926" s="93" t="n"/>
      <c r="T926" s="93" t="n"/>
    </row>
    <row r="927" ht="12.75" customHeight="1" s="111">
      <c r="A927" s="93" t="n"/>
      <c r="B927" s="93" t="n"/>
      <c r="C927" s="93" t="n"/>
      <c r="D927" s="93" t="n"/>
      <c r="E927" s="93" t="n"/>
      <c r="F927" s="93" t="n"/>
      <c r="G927" s="93" t="n"/>
      <c r="H927" s="93" t="n"/>
      <c r="I927" s="93" t="n"/>
      <c r="J927" s="93" t="n"/>
      <c r="K927" s="93" t="n"/>
      <c r="L927" s="93" t="n"/>
      <c r="M927" s="93" t="n"/>
      <c r="N927" s="93" t="n"/>
      <c r="O927" s="93" t="n"/>
      <c r="P927" s="93" t="n"/>
      <c r="Q927" s="93" t="n"/>
      <c r="R927" s="93" t="n"/>
      <c r="S927" s="93" t="n"/>
      <c r="T927" s="93" t="n"/>
    </row>
    <row r="928" ht="12.75" customHeight="1" s="111">
      <c r="A928" s="93" t="n"/>
      <c r="B928" s="93" t="n"/>
      <c r="C928" s="93" t="n"/>
      <c r="D928" s="93" t="n"/>
      <c r="E928" s="93" t="n"/>
      <c r="F928" s="93" t="n"/>
      <c r="G928" s="93" t="n"/>
      <c r="H928" s="93" t="n"/>
      <c r="I928" s="93" t="n"/>
      <c r="J928" s="93" t="n"/>
      <c r="K928" s="93" t="n"/>
      <c r="L928" s="93" t="n"/>
      <c r="M928" s="93" t="n"/>
      <c r="N928" s="93" t="n"/>
      <c r="O928" s="93" t="n"/>
      <c r="P928" s="93" t="n"/>
      <c r="Q928" s="93" t="n"/>
      <c r="R928" s="93" t="n"/>
      <c r="S928" s="93" t="n"/>
      <c r="T928" s="93" t="n"/>
    </row>
    <row r="929" ht="12.75" customHeight="1" s="111">
      <c r="A929" s="93" t="n"/>
      <c r="B929" s="93" t="n"/>
      <c r="C929" s="93" t="n"/>
      <c r="D929" s="93" t="n"/>
      <c r="E929" s="93" t="n"/>
      <c r="F929" s="93" t="n"/>
      <c r="G929" s="93" t="n"/>
      <c r="H929" s="93" t="n"/>
      <c r="I929" s="93" t="n"/>
      <c r="J929" s="93" t="n"/>
      <c r="K929" s="93" t="n"/>
      <c r="L929" s="93" t="n"/>
      <c r="M929" s="93" t="n"/>
      <c r="N929" s="93" t="n"/>
      <c r="O929" s="93" t="n"/>
      <c r="P929" s="93" t="n"/>
      <c r="Q929" s="93" t="n"/>
      <c r="R929" s="93" t="n"/>
      <c r="S929" s="93" t="n"/>
      <c r="T929" s="93" t="n"/>
    </row>
    <row r="930" ht="12.75" customHeight="1" s="111">
      <c r="A930" s="93" t="n"/>
      <c r="B930" s="93" t="n"/>
      <c r="C930" s="93" t="n"/>
      <c r="D930" s="93" t="n"/>
      <c r="E930" s="93" t="n"/>
      <c r="F930" s="93" t="n"/>
      <c r="G930" s="93" t="n"/>
      <c r="H930" s="93" t="n"/>
      <c r="I930" s="93" t="n"/>
      <c r="J930" s="93" t="n"/>
      <c r="K930" s="93" t="n"/>
      <c r="L930" s="93" t="n"/>
      <c r="M930" s="93" t="n"/>
      <c r="N930" s="93" t="n"/>
      <c r="O930" s="93" t="n"/>
      <c r="P930" s="93" t="n"/>
      <c r="Q930" s="93" t="n"/>
      <c r="R930" s="93" t="n"/>
      <c r="S930" s="93" t="n"/>
      <c r="T930" s="93" t="n"/>
    </row>
    <row r="931" ht="12.75" customHeight="1" s="111">
      <c r="A931" s="93" t="n"/>
      <c r="B931" s="93" t="n"/>
      <c r="C931" s="93" t="n"/>
      <c r="D931" s="93" t="n"/>
      <c r="E931" s="93" t="n"/>
      <c r="F931" s="93" t="n"/>
      <c r="G931" s="93" t="n"/>
      <c r="H931" s="93" t="n"/>
      <c r="I931" s="93" t="n"/>
      <c r="J931" s="93" t="n"/>
      <c r="K931" s="93" t="n"/>
      <c r="L931" s="93" t="n"/>
      <c r="M931" s="93" t="n"/>
      <c r="N931" s="93" t="n"/>
      <c r="O931" s="93" t="n"/>
      <c r="P931" s="93" t="n"/>
      <c r="Q931" s="93" t="n"/>
      <c r="R931" s="93" t="n"/>
      <c r="S931" s="93" t="n"/>
      <c r="T931" s="93" t="n"/>
    </row>
    <row r="932" ht="12.75" customHeight="1" s="111">
      <c r="A932" s="93" t="n"/>
      <c r="B932" s="93" t="n"/>
      <c r="C932" s="93" t="n"/>
      <c r="D932" s="93" t="n"/>
      <c r="E932" s="93" t="n"/>
      <c r="F932" s="93" t="n"/>
      <c r="G932" s="93" t="n"/>
      <c r="H932" s="93" t="n"/>
      <c r="I932" s="93" t="n"/>
      <c r="J932" s="93" t="n"/>
      <c r="K932" s="93" t="n"/>
      <c r="L932" s="93" t="n"/>
      <c r="M932" s="93" t="n"/>
      <c r="N932" s="93" t="n"/>
      <c r="O932" s="93" t="n"/>
      <c r="P932" s="93" t="n"/>
      <c r="Q932" s="93" t="n"/>
      <c r="R932" s="93" t="n"/>
      <c r="S932" s="93" t="n"/>
      <c r="T932" s="93" t="n"/>
    </row>
    <row r="933" ht="12.75" customHeight="1" s="111">
      <c r="A933" s="93" t="n"/>
      <c r="B933" s="93" t="n"/>
      <c r="C933" s="93" t="n"/>
      <c r="D933" s="93" t="n"/>
      <c r="E933" s="93" t="n"/>
      <c r="F933" s="93" t="n"/>
      <c r="G933" s="93" t="n"/>
      <c r="H933" s="93" t="n"/>
      <c r="I933" s="93" t="n"/>
      <c r="J933" s="93" t="n"/>
      <c r="K933" s="93" t="n"/>
      <c r="L933" s="93" t="n"/>
      <c r="M933" s="93" t="n"/>
      <c r="N933" s="93" t="n"/>
      <c r="O933" s="93" t="n"/>
      <c r="P933" s="93" t="n"/>
      <c r="Q933" s="93" t="n"/>
      <c r="R933" s="93" t="n"/>
      <c r="S933" s="93" t="n"/>
      <c r="T933" s="93" t="n"/>
    </row>
    <row r="934" ht="12.75" customHeight="1" s="111">
      <c r="A934" s="93" t="n"/>
      <c r="B934" s="93" t="n"/>
      <c r="C934" s="93" t="n"/>
      <c r="D934" s="93" t="n"/>
      <c r="E934" s="93" t="n"/>
      <c r="F934" s="93" t="n"/>
      <c r="G934" s="93" t="n"/>
      <c r="H934" s="93" t="n"/>
      <c r="I934" s="93" t="n"/>
      <c r="J934" s="93" t="n"/>
      <c r="K934" s="93" t="n"/>
      <c r="L934" s="93" t="n"/>
      <c r="M934" s="93" t="n"/>
      <c r="N934" s="93" t="n"/>
      <c r="O934" s="93" t="n"/>
      <c r="P934" s="93" t="n"/>
      <c r="Q934" s="93" t="n"/>
      <c r="R934" s="93" t="n"/>
      <c r="S934" s="93" t="n"/>
      <c r="T934" s="93" t="n"/>
    </row>
    <row r="935" ht="12.75" customHeight="1" s="111">
      <c r="A935" s="93" t="n"/>
      <c r="B935" s="93" t="n"/>
      <c r="C935" s="93" t="n"/>
      <c r="D935" s="93" t="n"/>
      <c r="E935" s="93" t="n"/>
      <c r="F935" s="93" t="n"/>
      <c r="G935" s="93" t="n"/>
      <c r="H935" s="93" t="n"/>
      <c r="I935" s="93" t="n"/>
      <c r="J935" s="93" t="n"/>
      <c r="K935" s="93" t="n"/>
      <c r="L935" s="93" t="n"/>
      <c r="M935" s="93" t="n"/>
      <c r="N935" s="93" t="n"/>
      <c r="O935" s="93" t="n"/>
      <c r="P935" s="93" t="n"/>
      <c r="Q935" s="93" t="n"/>
      <c r="R935" s="93" t="n"/>
      <c r="S935" s="93" t="n"/>
      <c r="T935" s="93" t="n"/>
    </row>
    <row r="936" ht="12.75" customHeight="1" s="111">
      <c r="A936" s="93" t="n"/>
      <c r="B936" s="93" t="n"/>
      <c r="C936" s="93" t="n"/>
      <c r="D936" s="93" t="n"/>
      <c r="E936" s="93" t="n"/>
      <c r="F936" s="93" t="n"/>
      <c r="G936" s="93" t="n"/>
      <c r="H936" s="93" t="n"/>
      <c r="I936" s="93" t="n"/>
      <c r="J936" s="93" t="n"/>
      <c r="K936" s="93" t="n"/>
      <c r="L936" s="93" t="n"/>
      <c r="M936" s="93" t="n"/>
      <c r="N936" s="93" t="n"/>
      <c r="O936" s="93" t="n"/>
      <c r="P936" s="93" t="n"/>
      <c r="Q936" s="93" t="n"/>
      <c r="R936" s="93" t="n"/>
      <c r="S936" s="93" t="n"/>
      <c r="T936" s="93" t="n"/>
    </row>
    <row r="937" ht="12.75" customHeight="1" s="111">
      <c r="A937" s="93" t="n"/>
      <c r="B937" s="93" t="n"/>
      <c r="C937" s="93" t="n"/>
      <c r="D937" s="93" t="n"/>
      <c r="E937" s="93" t="n"/>
      <c r="F937" s="93" t="n"/>
      <c r="G937" s="93" t="n"/>
      <c r="H937" s="93" t="n"/>
      <c r="I937" s="93" t="n"/>
      <c r="J937" s="93" t="n"/>
      <c r="K937" s="93" t="n"/>
      <c r="L937" s="93" t="n"/>
      <c r="M937" s="93" t="n"/>
      <c r="N937" s="93" t="n"/>
      <c r="O937" s="93" t="n"/>
      <c r="P937" s="93" t="n"/>
      <c r="Q937" s="93" t="n"/>
      <c r="R937" s="93" t="n"/>
      <c r="S937" s="93" t="n"/>
      <c r="T937" s="93" t="n"/>
    </row>
    <row r="938" ht="12.75" customHeight="1" s="111">
      <c r="A938" s="93" t="n"/>
      <c r="B938" s="93" t="n"/>
      <c r="C938" s="93" t="n"/>
      <c r="D938" s="93" t="n"/>
      <c r="E938" s="93" t="n"/>
      <c r="F938" s="93" t="n"/>
      <c r="G938" s="93" t="n"/>
      <c r="H938" s="93" t="n"/>
      <c r="I938" s="93" t="n"/>
      <c r="J938" s="93" t="n"/>
      <c r="K938" s="93" t="n"/>
      <c r="L938" s="93" t="n"/>
      <c r="M938" s="93" t="n"/>
      <c r="N938" s="93" t="n"/>
      <c r="O938" s="93" t="n"/>
      <c r="P938" s="93" t="n"/>
      <c r="Q938" s="93" t="n"/>
      <c r="R938" s="93" t="n"/>
      <c r="S938" s="93" t="n"/>
      <c r="T938" s="93" t="n"/>
    </row>
    <row r="939" ht="12.75" customHeight="1" s="111">
      <c r="A939" s="93" t="n"/>
      <c r="B939" s="93" t="n"/>
      <c r="C939" s="93" t="n"/>
      <c r="D939" s="93" t="n"/>
      <c r="E939" s="93" t="n"/>
      <c r="F939" s="93" t="n"/>
      <c r="G939" s="93" t="n"/>
      <c r="H939" s="93" t="n"/>
      <c r="I939" s="93" t="n"/>
      <c r="J939" s="93" t="n"/>
      <c r="K939" s="93" t="n"/>
      <c r="L939" s="93" t="n"/>
      <c r="M939" s="93" t="n"/>
      <c r="N939" s="93" t="n"/>
      <c r="O939" s="93" t="n"/>
      <c r="P939" s="93" t="n"/>
      <c r="Q939" s="93" t="n"/>
      <c r="R939" s="93" t="n"/>
      <c r="S939" s="93" t="n"/>
      <c r="T939" s="93" t="n"/>
    </row>
    <row r="940" ht="12.75" customHeight="1" s="111">
      <c r="A940" s="93" t="n"/>
      <c r="B940" s="93" t="n"/>
      <c r="C940" s="93" t="n"/>
      <c r="D940" s="93" t="n"/>
      <c r="E940" s="93" t="n"/>
      <c r="F940" s="93" t="n"/>
      <c r="G940" s="93" t="n"/>
      <c r="H940" s="93" t="n"/>
      <c r="I940" s="93" t="n"/>
      <c r="J940" s="93" t="n"/>
      <c r="K940" s="93" t="n"/>
      <c r="L940" s="93" t="n"/>
      <c r="M940" s="93" t="n"/>
      <c r="N940" s="93" t="n"/>
      <c r="O940" s="93" t="n"/>
      <c r="P940" s="93" t="n"/>
      <c r="Q940" s="93" t="n"/>
      <c r="R940" s="93" t="n"/>
      <c r="S940" s="93" t="n"/>
      <c r="T940" s="93" t="n"/>
    </row>
    <row r="941" ht="12.75" customHeight="1" s="111">
      <c r="A941" s="93" t="n"/>
      <c r="B941" s="93" t="n"/>
      <c r="C941" s="93" t="n"/>
      <c r="D941" s="93" t="n"/>
      <c r="E941" s="93" t="n"/>
      <c r="F941" s="93" t="n"/>
      <c r="G941" s="93" t="n"/>
      <c r="H941" s="93" t="n"/>
      <c r="I941" s="93" t="n"/>
      <c r="J941" s="93" t="n"/>
      <c r="K941" s="93" t="n"/>
      <c r="L941" s="93" t="n"/>
      <c r="M941" s="93" t="n"/>
      <c r="N941" s="93" t="n"/>
      <c r="O941" s="93" t="n"/>
      <c r="P941" s="93" t="n"/>
      <c r="Q941" s="93" t="n"/>
      <c r="R941" s="93" t="n"/>
      <c r="S941" s="93" t="n"/>
      <c r="T941" s="93" t="n"/>
    </row>
    <row r="942" ht="12.75" customHeight="1" s="111">
      <c r="A942" s="93" t="n"/>
      <c r="B942" s="93" t="n"/>
      <c r="C942" s="93" t="n"/>
      <c r="D942" s="93" t="n"/>
      <c r="E942" s="93" t="n"/>
      <c r="F942" s="93" t="n"/>
      <c r="G942" s="93" t="n"/>
      <c r="H942" s="93" t="n"/>
      <c r="I942" s="93" t="n"/>
      <c r="J942" s="93" t="n"/>
      <c r="K942" s="93" t="n"/>
      <c r="L942" s="93" t="n"/>
      <c r="M942" s="93" t="n"/>
      <c r="N942" s="93" t="n"/>
      <c r="O942" s="93" t="n"/>
      <c r="P942" s="93" t="n"/>
      <c r="Q942" s="93" t="n"/>
      <c r="R942" s="93" t="n"/>
      <c r="S942" s="93" t="n"/>
      <c r="T942" s="93" t="n"/>
    </row>
    <row r="943" ht="12.75" customHeight="1" s="111">
      <c r="A943" s="93" t="n"/>
      <c r="B943" s="93" t="n"/>
      <c r="C943" s="93" t="n"/>
      <c r="D943" s="93" t="n"/>
      <c r="E943" s="93" t="n"/>
      <c r="F943" s="93" t="n"/>
      <c r="G943" s="93" t="n"/>
      <c r="H943" s="93" t="n"/>
      <c r="I943" s="93" t="n"/>
      <c r="J943" s="93" t="n"/>
      <c r="K943" s="93" t="n"/>
      <c r="L943" s="93" t="n"/>
      <c r="M943" s="93" t="n"/>
      <c r="N943" s="93" t="n"/>
      <c r="O943" s="93" t="n"/>
      <c r="P943" s="93" t="n"/>
      <c r="Q943" s="93" t="n"/>
      <c r="R943" s="93" t="n"/>
      <c r="S943" s="93" t="n"/>
      <c r="T943" s="93" t="n"/>
    </row>
    <row r="944" ht="12.75" customHeight="1" s="111">
      <c r="A944" s="93" t="n"/>
      <c r="B944" s="93" t="n"/>
      <c r="C944" s="93" t="n"/>
      <c r="D944" s="93" t="n"/>
      <c r="E944" s="93" t="n"/>
      <c r="F944" s="93" t="n"/>
      <c r="G944" s="93" t="n"/>
      <c r="H944" s="93" t="n"/>
      <c r="I944" s="93" t="n"/>
      <c r="J944" s="93" t="n"/>
      <c r="K944" s="93" t="n"/>
      <c r="L944" s="93" t="n"/>
      <c r="M944" s="93" t="n"/>
      <c r="N944" s="93" t="n"/>
      <c r="O944" s="93" t="n"/>
      <c r="P944" s="93" t="n"/>
      <c r="Q944" s="93" t="n"/>
      <c r="R944" s="93" t="n"/>
      <c r="S944" s="93" t="n"/>
      <c r="T944" s="93" t="n"/>
    </row>
    <row r="945" ht="12.75" customHeight="1" s="111">
      <c r="A945" s="93" t="n"/>
      <c r="B945" s="93" t="n"/>
      <c r="C945" s="93" t="n"/>
      <c r="D945" s="93" t="n"/>
      <c r="E945" s="93" t="n"/>
      <c r="F945" s="93" t="n"/>
      <c r="G945" s="93" t="n"/>
      <c r="H945" s="93" t="n"/>
      <c r="I945" s="93" t="n"/>
      <c r="J945" s="93" t="n"/>
      <c r="K945" s="93" t="n"/>
      <c r="L945" s="93" t="n"/>
      <c r="M945" s="93" t="n"/>
      <c r="N945" s="93" t="n"/>
      <c r="O945" s="93" t="n"/>
      <c r="P945" s="93" t="n"/>
      <c r="Q945" s="93" t="n"/>
      <c r="R945" s="93" t="n"/>
      <c r="S945" s="93" t="n"/>
      <c r="T945" s="93" t="n"/>
    </row>
    <row r="946" ht="12.75" customHeight="1" s="111">
      <c r="A946" s="93" t="n"/>
      <c r="B946" s="93" t="n"/>
      <c r="C946" s="93" t="n"/>
      <c r="D946" s="93" t="n"/>
      <c r="E946" s="93" t="n"/>
      <c r="F946" s="93" t="n"/>
      <c r="G946" s="93" t="n"/>
      <c r="H946" s="93" t="n"/>
      <c r="I946" s="93" t="n"/>
      <c r="J946" s="93" t="n"/>
      <c r="K946" s="93" t="n"/>
      <c r="L946" s="93" t="n"/>
      <c r="M946" s="93" t="n"/>
      <c r="N946" s="93" t="n"/>
      <c r="O946" s="93" t="n"/>
      <c r="P946" s="93" t="n"/>
      <c r="Q946" s="93" t="n"/>
      <c r="R946" s="93" t="n"/>
      <c r="S946" s="93" t="n"/>
      <c r="T946" s="93" t="n"/>
    </row>
    <row r="947" ht="12.75" customHeight="1" s="111">
      <c r="A947" s="93" t="n"/>
      <c r="B947" s="93" t="n"/>
      <c r="C947" s="93" t="n"/>
      <c r="D947" s="93" t="n"/>
      <c r="E947" s="93" t="n"/>
      <c r="F947" s="93" t="n"/>
      <c r="G947" s="93" t="n"/>
      <c r="H947" s="93" t="n"/>
      <c r="I947" s="93" t="n"/>
      <c r="J947" s="93" t="n"/>
      <c r="K947" s="93" t="n"/>
      <c r="L947" s="93" t="n"/>
      <c r="M947" s="93" t="n"/>
      <c r="N947" s="93" t="n"/>
      <c r="O947" s="93" t="n"/>
      <c r="P947" s="93" t="n"/>
      <c r="Q947" s="93" t="n"/>
      <c r="R947" s="93" t="n"/>
      <c r="S947" s="93" t="n"/>
      <c r="T947" s="93" t="n"/>
    </row>
    <row r="948" ht="12.75" customHeight="1" s="111">
      <c r="A948" s="93" t="n"/>
      <c r="B948" s="93" t="n"/>
      <c r="C948" s="93" t="n"/>
      <c r="D948" s="93" t="n"/>
      <c r="E948" s="93" t="n"/>
      <c r="F948" s="93" t="n"/>
      <c r="G948" s="93" t="n"/>
      <c r="H948" s="93" t="n"/>
      <c r="I948" s="93" t="n"/>
      <c r="J948" s="93" t="n"/>
      <c r="K948" s="93" t="n"/>
      <c r="L948" s="93" t="n"/>
      <c r="M948" s="93" t="n"/>
      <c r="N948" s="93" t="n"/>
      <c r="O948" s="93" t="n"/>
      <c r="P948" s="93" t="n"/>
      <c r="Q948" s="93" t="n"/>
      <c r="R948" s="93" t="n"/>
      <c r="S948" s="93" t="n"/>
      <c r="T948" s="93" t="n"/>
    </row>
    <row r="949" ht="12.75" customHeight="1" s="111">
      <c r="A949" s="93" t="n"/>
      <c r="B949" s="93" t="n"/>
      <c r="C949" s="93" t="n"/>
      <c r="D949" s="93" t="n"/>
      <c r="E949" s="93" t="n"/>
      <c r="F949" s="93" t="n"/>
      <c r="G949" s="93" t="n"/>
      <c r="H949" s="93" t="n"/>
      <c r="I949" s="93" t="n"/>
      <c r="J949" s="93" t="n"/>
      <c r="K949" s="93" t="n"/>
      <c r="L949" s="93" t="n"/>
      <c r="M949" s="93" t="n"/>
      <c r="N949" s="93" t="n"/>
      <c r="O949" s="93" t="n"/>
      <c r="P949" s="93" t="n"/>
      <c r="Q949" s="93" t="n"/>
      <c r="R949" s="93" t="n"/>
      <c r="S949" s="93" t="n"/>
      <c r="T949" s="93" t="n"/>
    </row>
    <row r="950" ht="12.75" customHeight="1" s="111">
      <c r="A950" s="93" t="n"/>
      <c r="B950" s="93" t="n"/>
      <c r="C950" s="93" t="n"/>
      <c r="D950" s="93" t="n"/>
      <c r="E950" s="93" t="n"/>
      <c r="F950" s="93" t="n"/>
      <c r="G950" s="93" t="n"/>
      <c r="H950" s="93" t="n"/>
      <c r="I950" s="93" t="n"/>
      <c r="J950" s="93" t="n"/>
      <c r="K950" s="93" t="n"/>
      <c r="L950" s="93" t="n"/>
      <c r="M950" s="93" t="n"/>
      <c r="N950" s="93" t="n"/>
      <c r="O950" s="93" t="n"/>
      <c r="P950" s="93" t="n"/>
      <c r="Q950" s="93" t="n"/>
      <c r="R950" s="93" t="n"/>
      <c r="S950" s="93" t="n"/>
      <c r="T950" s="93" t="n"/>
    </row>
    <row r="951" ht="12.75" customHeight="1" s="111">
      <c r="A951" s="93" t="n"/>
      <c r="B951" s="93" t="n"/>
      <c r="C951" s="93" t="n"/>
      <c r="D951" s="93" t="n"/>
      <c r="E951" s="93" t="n"/>
      <c r="F951" s="93" t="n"/>
      <c r="G951" s="93" t="n"/>
      <c r="H951" s="93" t="n"/>
      <c r="I951" s="93" t="n"/>
      <c r="J951" s="93" t="n"/>
      <c r="K951" s="93" t="n"/>
      <c r="L951" s="93" t="n"/>
      <c r="M951" s="93" t="n"/>
      <c r="N951" s="93" t="n"/>
      <c r="O951" s="93" t="n"/>
      <c r="P951" s="93" t="n"/>
      <c r="Q951" s="93" t="n"/>
      <c r="R951" s="93" t="n"/>
      <c r="S951" s="93" t="n"/>
      <c r="T951" s="93" t="n"/>
    </row>
    <row r="952" ht="12.75" customHeight="1" s="111">
      <c r="A952" s="93" t="n"/>
      <c r="B952" s="93" t="n"/>
      <c r="C952" s="93" t="n"/>
      <c r="D952" s="93" t="n"/>
      <c r="E952" s="93" t="n"/>
      <c r="F952" s="93" t="n"/>
      <c r="G952" s="93" t="n"/>
      <c r="H952" s="93" t="n"/>
      <c r="I952" s="93" t="n"/>
      <c r="J952" s="93" t="n"/>
      <c r="K952" s="93" t="n"/>
      <c r="L952" s="93" t="n"/>
      <c r="M952" s="93" t="n"/>
      <c r="N952" s="93" t="n"/>
      <c r="O952" s="93" t="n"/>
      <c r="P952" s="93" t="n"/>
      <c r="Q952" s="93" t="n"/>
      <c r="R952" s="93" t="n"/>
      <c r="S952" s="93" t="n"/>
      <c r="T952" s="93" t="n"/>
    </row>
    <row r="953" ht="12.75" customHeight="1" s="111">
      <c r="A953" s="93" t="n"/>
      <c r="B953" s="93" t="n"/>
      <c r="C953" s="93" t="n"/>
      <c r="D953" s="93" t="n"/>
      <c r="E953" s="93" t="n"/>
      <c r="F953" s="93" t="n"/>
      <c r="G953" s="93" t="n"/>
      <c r="H953" s="93" t="n"/>
      <c r="I953" s="93" t="n"/>
      <c r="J953" s="93" t="n"/>
      <c r="K953" s="93" t="n"/>
      <c r="L953" s="93" t="n"/>
      <c r="M953" s="93" t="n"/>
      <c r="N953" s="93" t="n"/>
      <c r="O953" s="93" t="n"/>
      <c r="P953" s="93" t="n"/>
      <c r="Q953" s="93" t="n"/>
      <c r="R953" s="93" t="n"/>
      <c r="S953" s="93" t="n"/>
      <c r="T953" s="93" t="n"/>
    </row>
    <row r="954" ht="12.75" customHeight="1" s="111">
      <c r="A954" s="93" t="n"/>
      <c r="B954" s="93" t="n"/>
      <c r="C954" s="93" t="n"/>
      <c r="D954" s="93" t="n"/>
      <c r="E954" s="93" t="n"/>
      <c r="F954" s="93" t="n"/>
      <c r="G954" s="93" t="n"/>
      <c r="H954" s="93" t="n"/>
      <c r="I954" s="93" t="n"/>
      <c r="J954" s="93" t="n"/>
      <c r="K954" s="93" t="n"/>
      <c r="L954" s="93" t="n"/>
      <c r="M954" s="93" t="n"/>
      <c r="N954" s="93" t="n"/>
      <c r="O954" s="93" t="n"/>
      <c r="P954" s="93" t="n"/>
      <c r="Q954" s="93" t="n"/>
      <c r="R954" s="93" t="n"/>
      <c r="S954" s="93" t="n"/>
      <c r="T954" s="93" t="n"/>
    </row>
    <row r="955" ht="12.75" customHeight="1" s="111">
      <c r="A955" s="93" t="n"/>
      <c r="B955" s="93" t="n"/>
      <c r="C955" s="93" t="n"/>
      <c r="D955" s="93" t="n"/>
      <c r="E955" s="93" t="n"/>
      <c r="F955" s="93" t="n"/>
      <c r="G955" s="93" t="n"/>
      <c r="H955" s="93" t="n"/>
      <c r="I955" s="93" t="n"/>
      <c r="J955" s="93" t="n"/>
      <c r="K955" s="93" t="n"/>
      <c r="L955" s="93" t="n"/>
      <c r="M955" s="93" t="n"/>
      <c r="N955" s="93" t="n"/>
      <c r="O955" s="93" t="n"/>
      <c r="P955" s="93" t="n"/>
      <c r="Q955" s="93" t="n"/>
      <c r="R955" s="93" t="n"/>
      <c r="S955" s="93" t="n"/>
      <c r="T955" s="93" t="n"/>
    </row>
    <row r="956" ht="12.75" customHeight="1" s="111">
      <c r="A956" s="93" t="n"/>
      <c r="B956" s="93" t="n"/>
      <c r="C956" s="93" t="n"/>
      <c r="D956" s="93" t="n"/>
      <c r="E956" s="93" t="n"/>
      <c r="F956" s="93" t="n"/>
      <c r="G956" s="93" t="n"/>
      <c r="H956" s="93" t="n"/>
      <c r="I956" s="93" t="n"/>
      <c r="J956" s="93" t="n"/>
      <c r="K956" s="93" t="n"/>
      <c r="L956" s="93" t="n"/>
      <c r="M956" s="93" t="n"/>
      <c r="N956" s="93" t="n"/>
      <c r="O956" s="93" t="n"/>
      <c r="P956" s="93" t="n"/>
      <c r="Q956" s="93" t="n"/>
      <c r="R956" s="93" t="n"/>
      <c r="S956" s="93" t="n"/>
      <c r="T956" s="93" t="n"/>
    </row>
    <row r="957" ht="12.75" customHeight="1" s="111">
      <c r="A957" s="93" t="n"/>
      <c r="B957" s="93" t="n"/>
      <c r="C957" s="93" t="n"/>
      <c r="D957" s="93" t="n"/>
      <c r="E957" s="93" t="n"/>
      <c r="F957" s="93" t="n"/>
      <c r="G957" s="93" t="n"/>
      <c r="H957" s="93" t="n"/>
      <c r="I957" s="93" t="n"/>
      <c r="J957" s="93" t="n"/>
      <c r="K957" s="93" t="n"/>
      <c r="L957" s="93" t="n"/>
      <c r="M957" s="93" t="n"/>
      <c r="N957" s="93" t="n"/>
      <c r="O957" s="93" t="n"/>
      <c r="P957" s="93" t="n"/>
      <c r="Q957" s="93" t="n"/>
      <c r="R957" s="93" t="n"/>
      <c r="S957" s="93" t="n"/>
      <c r="T957" s="93" t="n"/>
    </row>
    <row r="958" ht="12.75" customHeight="1" s="111">
      <c r="A958" s="93" t="n"/>
      <c r="B958" s="93" t="n"/>
      <c r="C958" s="93" t="n"/>
      <c r="D958" s="93" t="n"/>
      <c r="E958" s="93" t="n"/>
      <c r="F958" s="93" t="n"/>
      <c r="G958" s="93" t="n"/>
      <c r="H958" s="93" t="n"/>
      <c r="I958" s="93" t="n"/>
      <c r="J958" s="93" t="n"/>
      <c r="K958" s="93" t="n"/>
      <c r="L958" s="93" t="n"/>
      <c r="M958" s="93" t="n"/>
      <c r="N958" s="93" t="n"/>
      <c r="O958" s="93" t="n"/>
      <c r="P958" s="93" t="n"/>
      <c r="Q958" s="93" t="n"/>
      <c r="R958" s="93" t="n"/>
      <c r="S958" s="93" t="n"/>
      <c r="T958" s="93" t="n"/>
    </row>
    <row r="959" ht="12.75" customHeight="1" s="111">
      <c r="A959" s="93" t="n"/>
      <c r="B959" s="93" t="n"/>
      <c r="C959" s="93" t="n"/>
      <c r="D959" s="93" t="n"/>
      <c r="E959" s="93" t="n"/>
      <c r="F959" s="93" t="n"/>
      <c r="G959" s="93" t="n"/>
      <c r="H959" s="93" t="n"/>
      <c r="I959" s="93" t="n"/>
      <c r="J959" s="93" t="n"/>
      <c r="K959" s="93" t="n"/>
      <c r="L959" s="93" t="n"/>
      <c r="M959" s="93" t="n"/>
      <c r="N959" s="93" t="n"/>
      <c r="O959" s="93" t="n"/>
      <c r="P959" s="93" t="n"/>
      <c r="Q959" s="93" t="n"/>
      <c r="R959" s="93" t="n"/>
      <c r="S959" s="93" t="n"/>
      <c r="T959" s="93" t="n"/>
    </row>
    <row r="960" ht="12.75" customHeight="1" s="111">
      <c r="A960" s="93" t="n"/>
      <c r="B960" s="93" t="n"/>
      <c r="C960" s="93" t="n"/>
      <c r="D960" s="93" t="n"/>
      <c r="E960" s="93" t="n"/>
      <c r="F960" s="93" t="n"/>
      <c r="G960" s="93" t="n"/>
      <c r="H960" s="93" t="n"/>
      <c r="I960" s="93" t="n"/>
      <c r="J960" s="93" t="n"/>
      <c r="K960" s="93" t="n"/>
      <c r="L960" s="93" t="n"/>
      <c r="M960" s="93" t="n"/>
      <c r="N960" s="93" t="n"/>
      <c r="O960" s="93" t="n"/>
      <c r="P960" s="93" t="n"/>
      <c r="Q960" s="93" t="n"/>
      <c r="R960" s="93" t="n"/>
      <c r="S960" s="93" t="n"/>
      <c r="T960" s="93" t="n"/>
    </row>
    <row r="961" ht="12.75" customHeight="1" s="111">
      <c r="A961" s="93" t="n"/>
      <c r="B961" s="93" t="n"/>
      <c r="C961" s="93" t="n"/>
      <c r="D961" s="93" t="n"/>
      <c r="E961" s="93" t="n"/>
      <c r="F961" s="93" t="n"/>
      <c r="G961" s="93" t="n"/>
      <c r="H961" s="93" t="n"/>
      <c r="I961" s="93" t="n"/>
      <c r="J961" s="93" t="n"/>
      <c r="K961" s="93" t="n"/>
      <c r="L961" s="93" t="n"/>
      <c r="M961" s="93" t="n"/>
      <c r="N961" s="93" t="n"/>
      <c r="O961" s="93" t="n"/>
      <c r="P961" s="93" t="n"/>
      <c r="Q961" s="93" t="n"/>
      <c r="R961" s="93" t="n"/>
      <c r="S961" s="93" t="n"/>
      <c r="T961" s="93" t="n"/>
    </row>
    <row r="962" ht="12.75" customHeight="1" s="111">
      <c r="A962" s="93" t="n"/>
      <c r="B962" s="93" t="n"/>
      <c r="C962" s="93" t="n"/>
      <c r="D962" s="93" t="n"/>
      <c r="E962" s="93" t="n"/>
      <c r="F962" s="93" t="n"/>
      <c r="G962" s="93" t="n"/>
      <c r="H962" s="93" t="n"/>
      <c r="I962" s="93" t="n"/>
      <c r="J962" s="93" t="n"/>
      <c r="K962" s="93" t="n"/>
      <c r="L962" s="93" t="n"/>
      <c r="M962" s="93" t="n"/>
      <c r="N962" s="93" t="n"/>
      <c r="O962" s="93" t="n"/>
      <c r="P962" s="93" t="n"/>
      <c r="Q962" s="93" t="n"/>
      <c r="R962" s="93" t="n"/>
      <c r="S962" s="93" t="n"/>
      <c r="T962" s="93" t="n"/>
    </row>
    <row r="963" ht="12.75" customHeight="1" s="111">
      <c r="A963" s="93" t="n"/>
      <c r="B963" s="93" t="n"/>
      <c r="C963" s="93" t="n"/>
      <c r="D963" s="93" t="n"/>
      <c r="E963" s="93" t="n"/>
      <c r="F963" s="93" t="n"/>
      <c r="G963" s="93" t="n"/>
      <c r="H963" s="93" t="n"/>
      <c r="I963" s="93" t="n"/>
      <c r="J963" s="93" t="n"/>
      <c r="K963" s="93" t="n"/>
      <c r="L963" s="93" t="n"/>
      <c r="M963" s="93" t="n"/>
      <c r="N963" s="93" t="n"/>
      <c r="O963" s="93" t="n"/>
      <c r="P963" s="93" t="n"/>
      <c r="Q963" s="93" t="n"/>
      <c r="R963" s="93" t="n"/>
      <c r="S963" s="93" t="n"/>
      <c r="T963" s="93" t="n"/>
    </row>
    <row r="964" ht="12.75" customHeight="1" s="111">
      <c r="A964" s="93" t="n"/>
      <c r="B964" s="93" t="n"/>
      <c r="C964" s="93" t="n"/>
      <c r="D964" s="93" t="n"/>
      <c r="E964" s="93" t="n"/>
      <c r="F964" s="93" t="n"/>
      <c r="G964" s="93" t="n"/>
      <c r="H964" s="93" t="n"/>
      <c r="I964" s="93" t="n"/>
      <c r="J964" s="93" t="n"/>
      <c r="K964" s="93" t="n"/>
      <c r="L964" s="93" t="n"/>
      <c r="M964" s="93" t="n"/>
      <c r="N964" s="93" t="n"/>
      <c r="O964" s="93" t="n"/>
      <c r="P964" s="93" t="n"/>
      <c r="Q964" s="93" t="n"/>
      <c r="R964" s="93" t="n"/>
      <c r="S964" s="93" t="n"/>
      <c r="T964" s="93" t="n"/>
    </row>
    <row r="965" ht="12.75" customHeight="1" s="111">
      <c r="A965" s="93" t="n"/>
      <c r="B965" s="93" t="n"/>
      <c r="C965" s="93" t="n"/>
      <c r="D965" s="93" t="n"/>
      <c r="E965" s="93" t="n"/>
      <c r="F965" s="93" t="n"/>
      <c r="G965" s="93" t="n"/>
      <c r="H965" s="93" t="n"/>
      <c r="I965" s="93" t="n"/>
      <c r="J965" s="93" t="n"/>
      <c r="K965" s="93" t="n"/>
      <c r="L965" s="93" t="n"/>
      <c r="M965" s="93" t="n"/>
      <c r="N965" s="93" t="n"/>
      <c r="O965" s="93" t="n"/>
      <c r="P965" s="93" t="n"/>
      <c r="Q965" s="93" t="n"/>
      <c r="R965" s="93" t="n"/>
      <c r="S965" s="93" t="n"/>
      <c r="T965" s="93" t="n"/>
    </row>
    <row r="966" ht="12.75" customHeight="1" s="111">
      <c r="A966" s="93" t="n"/>
      <c r="B966" s="93" t="n"/>
      <c r="C966" s="93" t="n"/>
      <c r="D966" s="93" t="n"/>
      <c r="E966" s="93" t="n"/>
      <c r="F966" s="93" t="n"/>
      <c r="G966" s="93" t="n"/>
      <c r="H966" s="93" t="n"/>
      <c r="I966" s="93" t="n"/>
      <c r="J966" s="93" t="n"/>
      <c r="K966" s="93" t="n"/>
      <c r="L966" s="93" t="n"/>
      <c r="M966" s="93" t="n"/>
      <c r="N966" s="93" t="n"/>
      <c r="O966" s="93" t="n"/>
      <c r="P966" s="93" t="n"/>
      <c r="Q966" s="93" t="n"/>
      <c r="R966" s="93" t="n"/>
      <c r="S966" s="93" t="n"/>
      <c r="T966" s="93" t="n"/>
    </row>
    <row r="967" ht="12.75" customHeight="1" s="111">
      <c r="A967" s="93" t="n"/>
      <c r="B967" s="93" t="n"/>
      <c r="C967" s="93" t="n"/>
      <c r="D967" s="93" t="n"/>
      <c r="E967" s="93" t="n"/>
      <c r="F967" s="93" t="n"/>
      <c r="G967" s="93" t="n"/>
      <c r="H967" s="93" t="n"/>
      <c r="I967" s="93" t="n"/>
      <c r="J967" s="93" t="n"/>
      <c r="K967" s="93" t="n"/>
      <c r="L967" s="93" t="n"/>
      <c r="M967" s="93" t="n"/>
      <c r="N967" s="93" t="n"/>
      <c r="O967" s="93" t="n"/>
      <c r="P967" s="93" t="n"/>
      <c r="Q967" s="93" t="n"/>
      <c r="R967" s="93" t="n"/>
      <c r="S967" s="93" t="n"/>
      <c r="T967" s="93" t="n"/>
    </row>
    <row r="968" ht="12.75" customHeight="1" s="111">
      <c r="A968" s="93" t="n"/>
      <c r="B968" s="93" t="n"/>
      <c r="C968" s="93" t="n"/>
      <c r="D968" s="93" t="n"/>
      <c r="E968" s="93" t="n"/>
      <c r="F968" s="93" t="n"/>
      <c r="G968" s="93" t="n"/>
      <c r="H968" s="93" t="n"/>
      <c r="I968" s="93" t="n"/>
      <c r="J968" s="93" t="n"/>
      <c r="K968" s="93" t="n"/>
      <c r="L968" s="93" t="n"/>
      <c r="M968" s="93" t="n"/>
      <c r="N968" s="93" t="n"/>
      <c r="O968" s="93" t="n"/>
      <c r="P968" s="93" t="n"/>
      <c r="Q968" s="93" t="n"/>
      <c r="R968" s="93" t="n"/>
      <c r="S968" s="93" t="n"/>
      <c r="T968" s="93" t="n"/>
    </row>
    <row r="969" ht="12.75" customHeight="1" s="111">
      <c r="A969" s="93" t="n"/>
      <c r="B969" s="93" t="n"/>
      <c r="C969" s="93" t="n"/>
      <c r="D969" s="93" t="n"/>
      <c r="E969" s="93" t="n"/>
      <c r="F969" s="93" t="n"/>
      <c r="G969" s="93" t="n"/>
      <c r="H969" s="93" t="n"/>
      <c r="I969" s="93" t="n"/>
      <c r="J969" s="93" t="n"/>
      <c r="K969" s="93" t="n"/>
      <c r="L969" s="93" t="n"/>
      <c r="M969" s="93" t="n"/>
      <c r="N969" s="93" t="n"/>
      <c r="O969" s="93" t="n"/>
      <c r="P969" s="93" t="n"/>
      <c r="Q969" s="93" t="n"/>
      <c r="R969" s="93" t="n"/>
      <c r="S969" s="93" t="n"/>
      <c r="T969" s="93" t="n"/>
    </row>
    <row r="970" ht="12.75" customHeight="1" s="111">
      <c r="A970" s="93" t="n"/>
      <c r="B970" s="93" t="n"/>
      <c r="C970" s="93" t="n"/>
      <c r="D970" s="93" t="n"/>
      <c r="E970" s="93" t="n"/>
      <c r="F970" s="93" t="n"/>
      <c r="G970" s="93" t="n"/>
      <c r="H970" s="93" t="n"/>
      <c r="I970" s="93" t="n"/>
      <c r="J970" s="93" t="n"/>
      <c r="K970" s="93" t="n"/>
      <c r="L970" s="93" t="n"/>
      <c r="M970" s="93" t="n"/>
      <c r="N970" s="93" t="n"/>
      <c r="O970" s="93" t="n"/>
      <c r="P970" s="93" t="n"/>
      <c r="Q970" s="93" t="n"/>
      <c r="R970" s="93" t="n"/>
      <c r="S970" s="93" t="n"/>
      <c r="T970" s="93" t="n"/>
    </row>
    <row r="971" ht="12.75" customHeight="1" s="111">
      <c r="A971" s="93" t="n"/>
      <c r="B971" s="93" t="n"/>
      <c r="C971" s="93" t="n"/>
      <c r="D971" s="93" t="n"/>
      <c r="E971" s="93" t="n"/>
      <c r="F971" s="93" t="n"/>
      <c r="G971" s="93" t="n"/>
      <c r="H971" s="93" t="n"/>
      <c r="I971" s="93" t="n"/>
      <c r="J971" s="93" t="n"/>
      <c r="K971" s="93" t="n"/>
      <c r="L971" s="93" t="n"/>
      <c r="M971" s="93" t="n"/>
      <c r="N971" s="93" t="n"/>
      <c r="O971" s="93" t="n"/>
      <c r="P971" s="93" t="n"/>
      <c r="Q971" s="93" t="n"/>
      <c r="R971" s="93" t="n"/>
      <c r="S971" s="93" t="n"/>
      <c r="T971" s="93" t="n"/>
    </row>
    <row r="972" ht="12.75" customHeight="1" s="111">
      <c r="A972" s="93" t="n"/>
      <c r="B972" s="93" t="n"/>
      <c r="C972" s="93" t="n"/>
      <c r="D972" s="93" t="n"/>
      <c r="E972" s="93" t="n"/>
      <c r="F972" s="93" t="n"/>
      <c r="G972" s="93" t="n"/>
      <c r="H972" s="93" t="n"/>
      <c r="I972" s="93" t="n"/>
      <c r="J972" s="93" t="n"/>
      <c r="K972" s="93" t="n"/>
      <c r="L972" s="93" t="n"/>
      <c r="M972" s="93" t="n"/>
      <c r="N972" s="93" t="n"/>
      <c r="O972" s="93" t="n"/>
      <c r="P972" s="93" t="n"/>
      <c r="Q972" s="93" t="n"/>
      <c r="R972" s="93" t="n"/>
      <c r="S972" s="93" t="n"/>
      <c r="T972" s="93" t="n"/>
    </row>
    <row r="973" ht="12.75" customHeight="1" s="111">
      <c r="A973" s="93" t="n"/>
      <c r="B973" s="93" t="n"/>
      <c r="C973" s="93" t="n"/>
      <c r="D973" s="93" t="n"/>
      <c r="E973" s="93" t="n"/>
      <c r="F973" s="93" t="n"/>
      <c r="G973" s="93" t="n"/>
      <c r="H973" s="93" t="n"/>
      <c r="I973" s="93" t="n"/>
      <c r="J973" s="93" t="n"/>
      <c r="K973" s="93" t="n"/>
      <c r="L973" s="93" t="n"/>
      <c r="M973" s="93" t="n"/>
      <c r="N973" s="93" t="n"/>
      <c r="O973" s="93" t="n"/>
      <c r="P973" s="93" t="n"/>
      <c r="Q973" s="93" t="n"/>
      <c r="R973" s="93" t="n"/>
      <c r="S973" s="93" t="n"/>
      <c r="T973" s="93" t="n"/>
    </row>
    <row r="974" ht="12.75" customHeight="1" s="111">
      <c r="A974" s="93" t="n"/>
      <c r="B974" s="93" t="n"/>
      <c r="C974" s="93" t="n"/>
      <c r="D974" s="93" t="n"/>
      <c r="E974" s="93" t="n"/>
      <c r="F974" s="93" t="n"/>
      <c r="G974" s="93" t="n"/>
      <c r="H974" s="93" t="n"/>
      <c r="I974" s="93" t="n"/>
      <c r="J974" s="93" t="n"/>
      <c r="K974" s="93" t="n"/>
      <c r="L974" s="93" t="n"/>
      <c r="M974" s="93" t="n"/>
      <c r="N974" s="93" t="n"/>
      <c r="O974" s="93" t="n"/>
      <c r="P974" s="93" t="n"/>
      <c r="Q974" s="93" t="n"/>
      <c r="R974" s="93" t="n"/>
      <c r="S974" s="93" t="n"/>
      <c r="T974" s="93" t="n"/>
    </row>
    <row r="975" ht="12.75" customHeight="1" s="111">
      <c r="A975" s="93" t="n"/>
      <c r="B975" s="93" t="n"/>
      <c r="C975" s="93" t="n"/>
      <c r="D975" s="93" t="n"/>
      <c r="E975" s="93" t="n"/>
      <c r="F975" s="93" t="n"/>
      <c r="G975" s="93" t="n"/>
      <c r="H975" s="93" t="n"/>
      <c r="I975" s="93" t="n"/>
      <c r="J975" s="93" t="n"/>
      <c r="K975" s="93" t="n"/>
      <c r="L975" s="93" t="n"/>
      <c r="M975" s="93" t="n"/>
      <c r="N975" s="93" t="n"/>
      <c r="O975" s="93" t="n"/>
      <c r="P975" s="93" t="n"/>
      <c r="Q975" s="93" t="n"/>
      <c r="R975" s="93" t="n"/>
      <c r="S975" s="93" t="n"/>
      <c r="T975" s="93" t="n"/>
    </row>
    <row r="976" ht="12.75" customHeight="1" s="111">
      <c r="A976" s="93" t="n"/>
      <c r="B976" s="93" t="n"/>
      <c r="C976" s="93" t="n"/>
      <c r="D976" s="93" t="n"/>
      <c r="E976" s="93" t="n"/>
      <c r="F976" s="93" t="n"/>
      <c r="G976" s="93" t="n"/>
      <c r="H976" s="93" t="n"/>
      <c r="I976" s="93" t="n"/>
      <c r="J976" s="93" t="n"/>
      <c r="K976" s="93" t="n"/>
      <c r="L976" s="93" t="n"/>
      <c r="M976" s="93" t="n"/>
      <c r="N976" s="93" t="n"/>
      <c r="O976" s="93" t="n"/>
      <c r="P976" s="93" t="n"/>
      <c r="Q976" s="93" t="n"/>
      <c r="R976" s="93" t="n"/>
      <c r="S976" s="93" t="n"/>
      <c r="T976" s="93" t="n"/>
    </row>
    <row r="977" ht="12.75" customHeight="1" s="111">
      <c r="A977" s="93" t="n"/>
      <c r="B977" s="93" t="n"/>
      <c r="C977" s="93" t="n"/>
      <c r="D977" s="93" t="n"/>
      <c r="E977" s="93" t="n"/>
      <c r="F977" s="93" t="n"/>
      <c r="G977" s="93" t="n"/>
      <c r="H977" s="93" t="n"/>
      <c r="I977" s="93" t="n"/>
      <c r="J977" s="93" t="n"/>
      <c r="K977" s="93" t="n"/>
      <c r="L977" s="93" t="n"/>
      <c r="M977" s="93" t="n"/>
      <c r="N977" s="93" t="n"/>
      <c r="O977" s="93" t="n"/>
      <c r="P977" s="93" t="n"/>
      <c r="Q977" s="93" t="n"/>
      <c r="R977" s="93" t="n"/>
      <c r="S977" s="93" t="n"/>
      <c r="T977" s="93" t="n"/>
    </row>
    <row r="978" ht="12.75" customHeight="1" s="111">
      <c r="A978" s="93" t="n"/>
      <c r="B978" s="93" t="n"/>
      <c r="C978" s="93" t="n"/>
      <c r="D978" s="93" t="n"/>
      <c r="E978" s="93" t="n"/>
      <c r="F978" s="93" t="n"/>
      <c r="G978" s="93" t="n"/>
      <c r="H978" s="93" t="n"/>
      <c r="I978" s="93" t="n"/>
      <c r="J978" s="93" t="n"/>
      <c r="K978" s="93" t="n"/>
      <c r="L978" s="93" t="n"/>
      <c r="M978" s="93" t="n"/>
      <c r="N978" s="93" t="n"/>
      <c r="O978" s="93" t="n"/>
      <c r="P978" s="93" t="n"/>
      <c r="Q978" s="93" t="n"/>
      <c r="R978" s="93" t="n"/>
      <c r="S978" s="93" t="n"/>
      <c r="T978" s="93" t="n"/>
    </row>
    <row r="979" ht="12.75" customHeight="1" s="111">
      <c r="A979" s="93" t="n"/>
      <c r="B979" s="93" t="n"/>
      <c r="C979" s="93" t="n"/>
      <c r="D979" s="93" t="n"/>
      <c r="E979" s="93" t="n"/>
      <c r="F979" s="93" t="n"/>
      <c r="G979" s="93" t="n"/>
      <c r="H979" s="93" t="n"/>
      <c r="I979" s="93" t="n"/>
      <c r="J979" s="93" t="n"/>
      <c r="K979" s="93" t="n"/>
      <c r="L979" s="93" t="n"/>
      <c r="M979" s="93" t="n"/>
      <c r="N979" s="93" t="n"/>
      <c r="O979" s="93" t="n"/>
      <c r="P979" s="93" t="n"/>
      <c r="Q979" s="93" t="n"/>
      <c r="R979" s="93" t="n"/>
      <c r="S979" s="93" t="n"/>
      <c r="T979" s="93" t="n"/>
    </row>
    <row r="980" ht="12.75" customHeight="1" s="111">
      <c r="A980" s="93" t="n"/>
      <c r="B980" s="93" t="n"/>
      <c r="C980" s="93" t="n"/>
      <c r="D980" s="93" t="n"/>
      <c r="E980" s="93" t="n"/>
      <c r="F980" s="93" t="n"/>
      <c r="G980" s="93" t="n"/>
      <c r="H980" s="93" t="n"/>
      <c r="I980" s="93" t="n"/>
      <c r="J980" s="93" t="n"/>
      <c r="K980" s="93" t="n"/>
      <c r="L980" s="93" t="n"/>
      <c r="M980" s="93" t="n"/>
      <c r="N980" s="93" t="n"/>
      <c r="O980" s="93" t="n"/>
      <c r="P980" s="93" t="n"/>
      <c r="Q980" s="93" t="n"/>
      <c r="R980" s="93" t="n"/>
      <c r="S980" s="93" t="n"/>
      <c r="T980" s="93" t="n"/>
    </row>
    <row r="981" ht="12.75" customHeight="1" s="111">
      <c r="A981" s="93" t="n"/>
      <c r="B981" s="93" t="n"/>
      <c r="C981" s="93" t="n"/>
      <c r="D981" s="93" t="n"/>
      <c r="E981" s="93" t="n"/>
      <c r="F981" s="93" t="n"/>
      <c r="G981" s="93" t="n"/>
      <c r="H981" s="93" t="n"/>
      <c r="I981" s="93" t="n"/>
      <c r="J981" s="93" t="n"/>
      <c r="K981" s="93" t="n"/>
      <c r="L981" s="93" t="n"/>
      <c r="M981" s="93" t="n"/>
      <c r="N981" s="93" t="n"/>
      <c r="O981" s="93" t="n"/>
      <c r="P981" s="93" t="n"/>
      <c r="Q981" s="93" t="n"/>
      <c r="R981" s="93" t="n"/>
      <c r="S981" s="93" t="n"/>
      <c r="T981" s="93" t="n"/>
    </row>
    <row r="982" ht="12.75" customHeight="1" s="111">
      <c r="A982" s="93" t="n"/>
      <c r="B982" s="93" t="n"/>
      <c r="C982" s="93" t="n"/>
      <c r="D982" s="93" t="n"/>
      <c r="E982" s="93" t="n"/>
      <c r="F982" s="93" t="n"/>
      <c r="G982" s="93" t="n"/>
      <c r="H982" s="93" t="n"/>
      <c r="I982" s="93" t="n"/>
      <c r="J982" s="93" t="n"/>
      <c r="K982" s="93" t="n"/>
      <c r="L982" s="93" t="n"/>
      <c r="M982" s="93" t="n"/>
      <c r="N982" s="93" t="n"/>
      <c r="O982" s="93" t="n"/>
      <c r="P982" s="93" t="n"/>
      <c r="Q982" s="93" t="n"/>
      <c r="R982" s="93" t="n"/>
      <c r="S982" s="93" t="n"/>
      <c r="T982" s="93" t="n"/>
    </row>
    <row r="983" ht="12.75" customHeight="1" s="111">
      <c r="A983" s="93" t="n"/>
      <c r="B983" s="93" t="n"/>
      <c r="C983" s="93" t="n"/>
      <c r="D983" s="93" t="n"/>
      <c r="E983" s="93" t="n"/>
      <c r="F983" s="93" t="n"/>
      <c r="G983" s="93" t="n"/>
      <c r="H983" s="93" t="n"/>
      <c r="I983" s="93" t="n"/>
      <c r="J983" s="93" t="n"/>
      <c r="K983" s="93" t="n"/>
      <c r="L983" s="93" t="n"/>
      <c r="M983" s="93" t="n"/>
      <c r="N983" s="93" t="n"/>
      <c r="O983" s="93" t="n"/>
      <c r="P983" s="93" t="n"/>
      <c r="Q983" s="93" t="n"/>
      <c r="R983" s="93" t="n"/>
      <c r="S983" s="93" t="n"/>
      <c r="T983" s="93" t="n"/>
    </row>
    <row r="984" ht="12.75" customHeight="1" s="111">
      <c r="A984" s="93" t="n"/>
      <c r="B984" s="93" t="n"/>
      <c r="C984" s="93" t="n"/>
      <c r="D984" s="93" t="n"/>
      <c r="E984" s="93" t="n"/>
      <c r="F984" s="93" t="n"/>
      <c r="G984" s="93" t="n"/>
      <c r="H984" s="93" t="n"/>
      <c r="I984" s="93" t="n"/>
      <c r="J984" s="93" t="n"/>
      <c r="K984" s="93" t="n"/>
      <c r="L984" s="93" t="n"/>
      <c r="M984" s="93" t="n"/>
      <c r="N984" s="93" t="n"/>
      <c r="O984" s="93" t="n"/>
      <c r="P984" s="93" t="n"/>
      <c r="Q984" s="93" t="n"/>
      <c r="R984" s="93" t="n"/>
      <c r="S984" s="93" t="n"/>
      <c r="T984" s="93" t="n"/>
    </row>
    <row r="985" ht="12.75" customHeight="1" s="111">
      <c r="A985" s="93" t="n"/>
      <c r="B985" s="93" t="n"/>
      <c r="C985" s="93" t="n"/>
      <c r="D985" s="93" t="n"/>
      <c r="E985" s="93" t="n"/>
      <c r="F985" s="93" t="n"/>
      <c r="G985" s="93" t="n"/>
      <c r="H985" s="93" t="n"/>
      <c r="I985" s="93" t="n"/>
      <c r="J985" s="93" t="n"/>
      <c r="K985" s="93" t="n"/>
      <c r="L985" s="93" t="n"/>
      <c r="M985" s="93" t="n"/>
      <c r="N985" s="93" t="n"/>
      <c r="O985" s="93" t="n"/>
      <c r="P985" s="93" t="n"/>
      <c r="Q985" s="93" t="n"/>
      <c r="R985" s="93" t="n"/>
      <c r="S985" s="93" t="n"/>
      <c r="T985" s="93" t="n"/>
    </row>
    <row r="986" ht="12.75" customHeight="1" s="111">
      <c r="A986" s="93" t="n"/>
      <c r="B986" s="93" t="n"/>
      <c r="C986" s="93" t="n"/>
      <c r="D986" s="93" t="n"/>
      <c r="E986" s="93" t="n"/>
      <c r="F986" s="93" t="n"/>
      <c r="G986" s="93" t="n"/>
      <c r="H986" s="93" t="n"/>
      <c r="I986" s="93" t="n"/>
      <c r="J986" s="93" t="n"/>
      <c r="K986" s="93" t="n"/>
      <c r="L986" s="93" t="n"/>
      <c r="M986" s="93" t="n"/>
      <c r="N986" s="93" t="n"/>
      <c r="O986" s="93" t="n"/>
      <c r="P986" s="93" t="n"/>
      <c r="Q986" s="93" t="n"/>
      <c r="R986" s="93" t="n"/>
      <c r="S986" s="93" t="n"/>
      <c r="T986" s="93" t="n"/>
    </row>
    <row r="987" ht="12.75" customHeight="1" s="111">
      <c r="A987" s="93" t="n"/>
      <c r="B987" s="93" t="n"/>
      <c r="C987" s="93" t="n"/>
      <c r="D987" s="93" t="n"/>
      <c r="E987" s="93" t="n"/>
      <c r="F987" s="93" t="n"/>
      <c r="G987" s="93" t="n"/>
      <c r="H987" s="93" t="n"/>
      <c r="I987" s="93" t="n"/>
      <c r="J987" s="93" t="n"/>
      <c r="K987" s="93" t="n"/>
      <c r="L987" s="93" t="n"/>
      <c r="M987" s="93" t="n"/>
      <c r="N987" s="93" t="n"/>
      <c r="O987" s="93" t="n"/>
      <c r="P987" s="93" t="n"/>
      <c r="Q987" s="93" t="n"/>
      <c r="R987" s="93" t="n"/>
      <c r="S987" s="93" t="n"/>
      <c r="T987" s="93" t="n"/>
    </row>
    <row r="988" ht="12.75" customHeight="1" s="111">
      <c r="A988" s="93" t="n"/>
      <c r="B988" s="93" t="n"/>
      <c r="C988" s="93" t="n"/>
      <c r="D988" s="93" t="n"/>
      <c r="E988" s="93" t="n"/>
      <c r="F988" s="93" t="n"/>
      <c r="G988" s="93" t="n"/>
      <c r="H988" s="93" t="n"/>
      <c r="I988" s="93" t="n"/>
      <c r="J988" s="93" t="n"/>
      <c r="K988" s="93" t="n"/>
      <c r="L988" s="93" t="n"/>
      <c r="M988" s="93" t="n"/>
      <c r="N988" s="93" t="n"/>
      <c r="O988" s="93" t="n"/>
      <c r="P988" s="93" t="n"/>
      <c r="Q988" s="93" t="n"/>
      <c r="R988" s="93" t="n"/>
      <c r="S988" s="93" t="n"/>
      <c r="T988" s="93" t="n"/>
    </row>
    <row r="989" ht="12.75" customHeight="1" s="111">
      <c r="A989" s="93" t="n"/>
      <c r="B989" s="93" t="n"/>
      <c r="C989" s="93" t="n"/>
      <c r="D989" s="93" t="n"/>
      <c r="E989" s="93" t="n"/>
      <c r="F989" s="93" t="n"/>
      <c r="G989" s="93" t="n"/>
      <c r="H989" s="93" t="n"/>
      <c r="I989" s="93" t="n"/>
      <c r="J989" s="93" t="n"/>
      <c r="K989" s="93" t="n"/>
      <c r="L989" s="93" t="n"/>
      <c r="M989" s="93" t="n"/>
      <c r="N989" s="93" t="n"/>
      <c r="O989" s="93" t="n"/>
      <c r="P989" s="93" t="n"/>
      <c r="Q989" s="93" t="n"/>
      <c r="R989" s="93" t="n"/>
      <c r="S989" s="93" t="n"/>
      <c r="T989" s="93" t="n"/>
    </row>
    <row r="990" ht="12.75" customHeight="1" s="111">
      <c r="A990" s="93" t="n"/>
      <c r="B990" s="93" t="n"/>
      <c r="C990" s="93" t="n"/>
      <c r="D990" s="93" t="n"/>
      <c r="E990" s="93" t="n"/>
      <c r="F990" s="93" t="n"/>
      <c r="G990" s="93" t="n"/>
      <c r="H990" s="93" t="n"/>
      <c r="I990" s="93" t="n"/>
      <c r="J990" s="93" t="n"/>
      <c r="K990" s="93" t="n"/>
      <c r="L990" s="93" t="n"/>
      <c r="M990" s="93" t="n"/>
      <c r="N990" s="93" t="n"/>
      <c r="O990" s="93" t="n"/>
      <c r="P990" s="93" t="n"/>
      <c r="Q990" s="93" t="n"/>
      <c r="R990" s="93" t="n"/>
      <c r="S990" s="93" t="n"/>
      <c r="T990" s="93" t="n"/>
    </row>
    <row r="991" ht="12.75" customHeight="1" s="111">
      <c r="A991" s="93" t="n"/>
      <c r="B991" s="93" t="n"/>
      <c r="C991" s="93" t="n"/>
      <c r="D991" s="93" t="n"/>
      <c r="E991" s="93" t="n"/>
      <c r="F991" s="93" t="n"/>
      <c r="G991" s="93" t="n"/>
      <c r="H991" s="93" t="n"/>
      <c r="I991" s="93" t="n"/>
      <c r="J991" s="93" t="n"/>
      <c r="K991" s="93" t="n"/>
      <c r="L991" s="93" t="n"/>
      <c r="M991" s="93" t="n"/>
      <c r="N991" s="93" t="n"/>
      <c r="O991" s="93" t="n"/>
      <c r="P991" s="93" t="n"/>
      <c r="Q991" s="93" t="n"/>
      <c r="R991" s="93" t="n"/>
      <c r="S991" s="93" t="n"/>
      <c r="T991" s="93" t="n"/>
    </row>
    <row r="992" ht="12.75" customHeight="1" s="111">
      <c r="A992" s="93" t="n"/>
      <c r="B992" s="93" t="n"/>
      <c r="C992" s="93" t="n"/>
      <c r="D992" s="93" t="n"/>
      <c r="E992" s="93" t="n"/>
      <c r="F992" s="93" t="n"/>
      <c r="G992" s="93" t="n"/>
      <c r="H992" s="93" t="n"/>
      <c r="I992" s="93" t="n"/>
      <c r="J992" s="93" t="n"/>
      <c r="K992" s="93" t="n"/>
      <c r="L992" s="93" t="n"/>
      <c r="M992" s="93" t="n"/>
      <c r="N992" s="93" t="n"/>
      <c r="O992" s="93" t="n"/>
      <c r="P992" s="93" t="n"/>
      <c r="Q992" s="93" t="n"/>
      <c r="R992" s="93" t="n"/>
      <c r="S992" s="93" t="n"/>
      <c r="T992" s="93" t="n"/>
    </row>
    <row r="993" ht="12.75" customHeight="1" s="111">
      <c r="A993" s="93" t="n"/>
      <c r="B993" s="93" t="n"/>
      <c r="C993" s="93" t="n"/>
      <c r="D993" s="93" t="n"/>
      <c r="E993" s="93" t="n"/>
      <c r="F993" s="93" t="n"/>
      <c r="G993" s="93" t="n"/>
      <c r="H993" s="93" t="n"/>
      <c r="I993" s="93" t="n"/>
      <c r="J993" s="93" t="n"/>
      <c r="K993" s="93" t="n"/>
      <c r="L993" s="93" t="n"/>
      <c r="M993" s="93" t="n"/>
      <c r="N993" s="93" t="n"/>
      <c r="O993" s="93" t="n"/>
      <c r="P993" s="93" t="n"/>
      <c r="Q993" s="93" t="n"/>
      <c r="R993" s="93" t="n"/>
      <c r="S993" s="93" t="n"/>
      <c r="T993" s="93" t="n"/>
    </row>
    <row r="994" ht="12.75" customHeight="1" s="111">
      <c r="A994" s="93" t="n"/>
      <c r="B994" s="93" t="n"/>
      <c r="C994" s="93" t="n"/>
      <c r="D994" s="93" t="n"/>
      <c r="E994" s="93" t="n"/>
      <c r="F994" s="93" t="n"/>
      <c r="G994" s="93" t="n"/>
      <c r="H994" s="93" t="n"/>
      <c r="I994" s="93" t="n"/>
      <c r="J994" s="93" t="n"/>
      <c r="K994" s="93" t="n"/>
      <c r="L994" s="93" t="n"/>
      <c r="M994" s="93" t="n"/>
      <c r="N994" s="93" t="n"/>
      <c r="O994" s="93" t="n"/>
      <c r="P994" s="93" t="n"/>
      <c r="Q994" s="93" t="n"/>
      <c r="R994" s="93" t="n"/>
      <c r="S994" s="93" t="n"/>
      <c r="T994" s="93" t="n"/>
    </row>
    <row r="995" ht="12.75" customHeight="1" s="111">
      <c r="A995" s="93" t="n"/>
      <c r="B995" s="93" t="n"/>
      <c r="C995" s="93" t="n"/>
      <c r="D995" s="93" t="n"/>
      <c r="E995" s="93" t="n"/>
      <c r="F995" s="93" t="n"/>
      <c r="G995" s="93" t="n"/>
      <c r="H995" s="93" t="n"/>
      <c r="I995" s="93" t="n"/>
      <c r="J995" s="93" t="n"/>
      <c r="K995" s="93" t="n"/>
      <c r="L995" s="93" t="n"/>
      <c r="M995" s="93" t="n"/>
      <c r="N995" s="93" t="n"/>
      <c r="O995" s="93" t="n"/>
      <c r="P995" s="93" t="n"/>
      <c r="Q995" s="93" t="n"/>
      <c r="R995" s="93" t="n"/>
      <c r="S995" s="93" t="n"/>
      <c r="T995" s="93" t="n"/>
    </row>
    <row r="996" ht="12.75" customHeight="1" s="111">
      <c r="A996" s="93" t="n"/>
      <c r="B996" s="93" t="n"/>
      <c r="C996" s="93" t="n"/>
      <c r="D996" s="93" t="n"/>
      <c r="E996" s="93" t="n"/>
      <c r="F996" s="93" t="n"/>
      <c r="G996" s="93" t="n"/>
      <c r="H996" s="93" t="n"/>
      <c r="I996" s="93" t="n"/>
      <c r="J996" s="93" t="n"/>
      <c r="K996" s="93" t="n"/>
      <c r="L996" s="93" t="n"/>
      <c r="M996" s="93" t="n"/>
      <c r="N996" s="93" t="n"/>
      <c r="O996" s="93" t="n"/>
      <c r="P996" s="93" t="n"/>
      <c r="Q996" s="93" t="n"/>
      <c r="R996" s="93" t="n"/>
      <c r="S996" s="93" t="n"/>
      <c r="T996" s="93" t="n"/>
    </row>
    <row r="997" ht="12.75" customHeight="1" s="111">
      <c r="A997" s="93" t="n"/>
      <c r="B997" s="93" t="n"/>
      <c r="C997" s="93" t="n"/>
      <c r="D997" s="93" t="n"/>
      <c r="E997" s="93" t="n"/>
      <c r="F997" s="93" t="n"/>
      <c r="G997" s="93" t="n"/>
      <c r="H997" s="93" t="n"/>
      <c r="I997" s="93" t="n"/>
      <c r="J997" s="93" t="n"/>
      <c r="K997" s="93" t="n"/>
      <c r="L997" s="93" t="n"/>
      <c r="M997" s="93" t="n"/>
      <c r="N997" s="93" t="n"/>
      <c r="O997" s="93" t="n"/>
      <c r="P997" s="93" t="n"/>
      <c r="Q997" s="93" t="n"/>
      <c r="R997" s="93" t="n"/>
      <c r="S997" s="93" t="n"/>
      <c r="T997" s="93" t="n"/>
    </row>
    <row r="998" ht="12.75" customHeight="1" s="111">
      <c r="A998" s="93" t="n"/>
      <c r="B998" s="93" t="n"/>
      <c r="C998" s="93" t="n"/>
      <c r="D998" s="93" t="n"/>
      <c r="E998" s="93" t="n"/>
      <c r="F998" s="93" t="n"/>
      <c r="G998" s="93" t="n"/>
      <c r="H998" s="93" t="n"/>
      <c r="I998" s="93" t="n"/>
      <c r="J998" s="93" t="n"/>
      <c r="K998" s="93" t="n"/>
      <c r="L998" s="93" t="n"/>
      <c r="M998" s="93" t="n"/>
      <c r="N998" s="93" t="n"/>
      <c r="O998" s="93" t="n"/>
      <c r="P998" s="93" t="n"/>
      <c r="Q998" s="93" t="n"/>
      <c r="R998" s="93" t="n"/>
      <c r="S998" s="93" t="n"/>
      <c r="T998" s="93" t="n"/>
    </row>
    <row r="999" ht="12.75" customHeight="1" s="111">
      <c r="A999" s="93" t="n"/>
      <c r="B999" s="93" t="n"/>
      <c r="C999" s="93" t="n"/>
      <c r="D999" s="93" t="n"/>
      <c r="E999" s="93" t="n"/>
      <c r="F999" s="93" t="n"/>
      <c r="G999" s="93" t="n"/>
      <c r="H999" s="93" t="n"/>
      <c r="I999" s="93" t="n"/>
      <c r="J999" s="93" t="n"/>
      <c r="K999" s="93" t="n"/>
      <c r="L999" s="93" t="n"/>
      <c r="M999" s="93" t="n"/>
      <c r="N999" s="93" t="n"/>
      <c r="O999" s="93" t="n"/>
      <c r="P999" s="93" t="n"/>
      <c r="Q999" s="93" t="n"/>
      <c r="R999" s="93" t="n"/>
      <c r="S999" s="93" t="n"/>
      <c r="T999" s="93" t="n"/>
    </row>
    <row r="1000" ht="12.75" customHeight="1" s="111">
      <c r="A1000" s="93" t="n"/>
      <c r="B1000" s="93" t="n"/>
      <c r="C1000" s="93" t="n"/>
      <c r="D1000" s="93" t="n"/>
      <c r="E1000" s="93" t="n"/>
      <c r="F1000" s="93" t="n"/>
      <c r="G1000" s="93" t="n"/>
      <c r="H1000" s="93" t="n"/>
      <c r="I1000" s="93" t="n"/>
      <c r="J1000" s="93" t="n"/>
      <c r="K1000" s="93" t="n"/>
      <c r="L1000" s="93" t="n"/>
      <c r="M1000" s="93" t="n"/>
      <c r="N1000" s="93" t="n"/>
      <c r="O1000" s="93" t="n"/>
      <c r="P1000" s="93" t="n"/>
      <c r="Q1000" s="93" t="n"/>
      <c r="R1000" s="93" t="n"/>
      <c r="S1000" s="93" t="n"/>
      <c r="T1000" s="93" t="n"/>
    </row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20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9">
        <f>IF(L9="","",IF(UPPER(L9)="X","",L9))</f>
        <v/>
      </c>
      <c r="AK9" s="50">
        <f>IF(M9="","",IF(UPPER(L9)="X",M9-1,M9-L9-1))</f>
        <v/>
      </c>
      <c r="AL9" s="51">
        <f>IF(N9="","",N9-M9-1)</f>
        <v/>
      </c>
      <c r="AM9" s="51">
        <f>IF(O9="","",O9-N9-1)</f>
        <v/>
      </c>
      <c r="AN9" s="51">
        <f>IF(P9="","",P9-O9-1)</f>
        <v/>
      </c>
      <c r="AO9" s="51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1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1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1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1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49">
        <f>IF(L14="","",L14-Q13-1)</f>
        <v/>
      </c>
      <c r="AK14" s="51">
        <f>IF(M14="","",M14-L14-1)</f>
        <v/>
      </c>
      <c r="AL14" s="51">
        <f>IF(N14="","",N14-M14-1)</f>
        <v/>
      </c>
      <c r="AM14" s="51">
        <f>IF(O14="","",O14-N14-1)</f>
        <v/>
      </c>
      <c r="AN14" s="51">
        <f>IF(P14="","",P14-O14-1)</f>
        <v/>
      </c>
      <c r="AO14" s="51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21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66">
        <f>SUM(AJ9:AJ14)</f>
        <v/>
      </c>
      <c r="AK16" s="67">
        <f>SUM(AK9:AK14)</f>
        <v/>
      </c>
      <c r="AL16" s="67">
        <f>SUM(AL9:AL14)</f>
        <v/>
      </c>
      <c r="AM16" s="67">
        <f>SUM(AM9:AM14)</f>
        <v/>
      </c>
      <c r="AN16" s="67">
        <f>SUM(AN9:AN14)</f>
        <v/>
      </c>
      <c r="AO16" s="97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9">
        <f>IF(L21="","",IF(UPPER(L21)="X","",L21))</f>
        <v/>
      </c>
      <c r="AK21" s="50">
        <f>IF(M21="","",IF(UPPER(L21)="X",M21-1,M21-L21-1))</f>
        <v/>
      </c>
      <c r="AL21" s="51">
        <f>IF(N21="","",N21-M21-1)</f>
        <v/>
      </c>
      <c r="AM21" s="51">
        <f>IF(O21="","",O21-N21-1)</f>
        <v/>
      </c>
      <c r="AN21" s="51">
        <f>IF(P21="","",P21-O21-1)</f>
        <v/>
      </c>
      <c r="AO21" s="51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1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1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1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1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49">
        <f>IF(L26="","",L26-Q25-1)</f>
        <v/>
      </c>
      <c r="AK26" s="51">
        <f>IF(M26="","",M26-L26-1)</f>
        <v/>
      </c>
      <c r="AL26" s="51">
        <f>IF(N26="","",N26-M26-1)</f>
        <v/>
      </c>
      <c r="AM26" s="51">
        <f>IF(O26="","",O26-N26-1)</f>
        <v/>
      </c>
      <c r="AN26" s="51">
        <f>IF(P26="","",P26-O26-1)</f>
        <v/>
      </c>
      <c r="AO26" s="51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21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66">
        <f>SUM(AJ21:AJ26)</f>
        <v/>
      </c>
      <c r="AK28" s="67">
        <f>SUM(AK21:AK26)</f>
        <v/>
      </c>
      <c r="AL28" s="67">
        <f>SUM(AL21:AL26)</f>
        <v/>
      </c>
      <c r="AM28" s="67">
        <f>SUM(AM21:AM26)</f>
        <v/>
      </c>
      <c r="AN28" s="67">
        <f>SUM(AN21:AN26)</f>
        <v/>
      </c>
      <c r="AO28" s="97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98" t="n"/>
      <c r="E33" s="99" t="n"/>
      <c r="F33" s="99" t="n"/>
      <c r="G33" s="99" t="n"/>
      <c r="H33" s="99" t="n"/>
      <c r="I33" s="100" t="n"/>
      <c r="J33" s="6" t="n"/>
      <c r="K33" s="6" t="n"/>
      <c r="L33" s="98" t="n"/>
      <c r="M33" s="99" t="n"/>
      <c r="N33" s="99" t="n"/>
      <c r="O33" s="99" t="n"/>
      <c r="P33" s="99" t="n"/>
      <c r="Q33" s="100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9">
        <f>IF(L33="","",IF(UPPER(L33)="X","",L33))</f>
        <v/>
      </c>
      <c r="AK33" s="50">
        <f>IF(M33="","",IF(UPPER(L33)="X",M33-1,M33-L33-1))</f>
        <v/>
      </c>
      <c r="AL33" s="51">
        <f>IF(N33="","",N33-M33-1)</f>
        <v/>
      </c>
      <c r="AM33" s="51">
        <f>IF(O33="","",O33-N33-1)</f>
        <v/>
      </c>
      <c r="AN33" s="51">
        <f>IF(P33="","",P33-O33-1)</f>
        <v/>
      </c>
      <c r="AO33" s="51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101" t="n"/>
      <c r="E34" s="6" t="n"/>
      <c r="F34" s="6" t="n"/>
      <c r="G34" s="6" t="n"/>
      <c r="H34" s="6" t="n"/>
      <c r="I34" s="102" t="n"/>
      <c r="J34" s="6" t="n"/>
      <c r="K34" s="6" t="n"/>
      <c r="L34" s="101" t="n"/>
      <c r="M34" s="6" t="n"/>
      <c r="N34" s="6" t="n"/>
      <c r="O34" s="6" t="n"/>
      <c r="P34" s="6" t="n"/>
      <c r="Q34" s="102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1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101" t="n"/>
      <c r="E35" s="6" t="n"/>
      <c r="F35" s="6" t="n"/>
      <c r="G35" s="6" t="n"/>
      <c r="H35" s="6" t="n"/>
      <c r="I35" s="102" t="n"/>
      <c r="J35" s="6" t="n"/>
      <c r="K35" s="6" t="n"/>
      <c r="L35" s="101" t="n"/>
      <c r="M35" s="6" t="n"/>
      <c r="N35" s="6" t="n"/>
      <c r="O35" s="6" t="n"/>
      <c r="P35" s="6" t="n"/>
      <c r="Q35" s="102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1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1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1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49">
        <f>IF(L38="","",L38-Q37-1)</f>
        <v/>
      </c>
      <c r="AK38" s="51">
        <f>IF(M38="","",M38-L38-1)</f>
        <v/>
      </c>
      <c r="AL38" s="51">
        <f>IF(N38="","",N38-M38-1)</f>
        <v/>
      </c>
      <c r="AM38" s="51">
        <f>IF(O38="","",O38-N38-1)</f>
        <v/>
      </c>
      <c r="AN38" s="51">
        <f>IF(P38="","",P38-O38-1)</f>
        <v/>
      </c>
      <c r="AO38" s="51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21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66">
        <f>SUM(AJ33:AJ38)</f>
        <v/>
      </c>
      <c r="AK40" s="67">
        <f>SUM(AK33:AK38)</f>
        <v/>
      </c>
      <c r="AL40" s="67">
        <f>SUM(AL33:AL38)</f>
        <v/>
      </c>
      <c r="AM40" s="67">
        <f>SUM(AM33:AM38)</f>
        <v/>
      </c>
      <c r="AN40" s="67">
        <f>SUM(AN33:AN38)</f>
        <v/>
      </c>
      <c r="AO40" s="97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9">
        <f>IF(L45="","",IF(UPPER(L45)="X","",L45))</f>
        <v/>
      </c>
      <c r="AK45" s="50">
        <f>IF(M45="","",IF(UPPER(L45)="X",M45-1,M45-L45-1))</f>
        <v/>
      </c>
      <c r="AL45" s="51">
        <f>IF(N45="","",N45-M45-1)</f>
        <v/>
      </c>
      <c r="AM45" s="51">
        <f>IF(O45="","",O45-N45-1)</f>
        <v/>
      </c>
      <c r="AN45" s="51">
        <f>IF(P45="","",P45-O45-1)</f>
        <v/>
      </c>
      <c r="AO45" s="51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1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1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1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1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49">
        <f>IF(L50="","",L50-Q49-1)</f>
        <v/>
      </c>
      <c r="AK50" s="51">
        <f>IF(M50="","",M50-L50-1)</f>
        <v/>
      </c>
      <c r="AL50" s="51">
        <f>IF(N50="","",N50-M50-1)</f>
        <v/>
      </c>
      <c r="AM50" s="51">
        <f>IF(O50="","",O50-N50-1)</f>
        <v/>
      </c>
      <c r="AN50" s="51">
        <f>IF(P50="","",P50-O50-1)</f>
        <v/>
      </c>
      <c r="AO50" s="51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21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66">
        <f>SUM(AJ45:AJ50)</f>
        <v/>
      </c>
      <c r="AK52" s="67">
        <f>SUM(AK45:AK50)</f>
        <v/>
      </c>
      <c r="AL52" s="67">
        <f>SUM(AL45:AL50)</f>
        <v/>
      </c>
      <c r="AM52" s="67">
        <f>SUM(AM45:AM50)</f>
        <v/>
      </c>
      <c r="AN52" s="67">
        <f>SUM(AN45:AN50)</f>
        <v/>
      </c>
      <c r="AO52" s="97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9">
        <f>IF(L57="","",IF(UPPER(L57)="X","",L57))</f>
        <v/>
      </c>
      <c r="AK57" s="50">
        <f>IF(M57="","",IF(UPPER(L57)="X",M57-1,M57-L57-1))</f>
        <v/>
      </c>
      <c r="AL57" s="51">
        <f>IF(N57="","",N57-M57-1)</f>
        <v/>
      </c>
      <c r="AM57" s="51">
        <f>IF(O57="","",O57-N57-1)</f>
        <v/>
      </c>
      <c r="AN57" s="51">
        <f>IF(P57="","",P57-O57-1)</f>
        <v/>
      </c>
      <c r="AO57" s="51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1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1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1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1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49">
        <f>IF(L62="","",L62-Q61-1)</f>
        <v/>
      </c>
      <c r="AK62" s="51">
        <f>IF(M62="","",M62-L62-1)</f>
        <v/>
      </c>
      <c r="AL62" s="51">
        <f>IF(N62="","",N62-M62-1)</f>
        <v/>
      </c>
      <c r="AM62" s="51">
        <f>IF(O62="","",O62-N62-1)</f>
        <v/>
      </c>
      <c r="AN62" s="51">
        <f>IF(P62="","",P62-O62-1)</f>
        <v/>
      </c>
      <c r="AO62" s="51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21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66">
        <f>SUM(AJ57:AJ62)</f>
        <v/>
      </c>
      <c r="AK64" s="67">
        <f>SUM(AK57:AK62)</f>
        <v/>
      </c>
      <c r="AL64" s="67">
        <f>SUM(AL57:AL62)</f>
        <v/>
      </c>
      <c r="AM64" s="67">
        <f>SUM(AM57:AM62)</f>
        <v/>
      </c>
      <c r="AN64" s="67">
        <f>SUM(AN57:AN62)</f>
        <v/>
      </c>
      <c r="AO64" s="97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</row>
    <row r="105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</row>
    <row r="117" ht="12.75" customHeight="1" s="1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</row>
    <row r="118" ht="12.75" customHeight="1" s="1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</row>
    <row r="119" ht="12.75" customHeight="1" s="1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</row>
    <row r="120" ht="12.75" customHeight="1" s="1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</row>
    <row r="121" ht="12.75" customHeight="1" s="1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</row>
    <row r="122" ht="12.75" customHeight="1" s="1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</row>
    <row r="123" ht="12.75" customHeight="1" s="1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</row>
    <row r="124" ht="12.75" customHeight="1" s="1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</row>
    <row r="125" ht="12.75" customHeight="1" s="1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</row>
    <row r="126" ht="12.75" customHeight="1" s="1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</row>
    <row r="127" ht="12.75" customHeight="1" s="1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</row>
    <row r="128" ht="12.75" customHeight="1" s="1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</row>
    <row r="129" ht="12.75" customHeight="1" s="1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</row>
    <row r="130" ht="12.75" customHeight="1" s="1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</row>
    <row r="131" ht="12.75" customHeight="1" s="1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</row>
    <row r="132" ht="12.75" customHeight="1" s="1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</row>
    <row r="133" ht="12.75" customHeight="1" s="1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</row>
    <row r="134" ht="12.75" customHeight="1" s="1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</row>
    <row r="135" ht="12.75" customHeight="1" s="1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</row>
    <row r="136" ht="12.75" customHeight="1" s="11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</row>
    <row r="137" ht="12.75" customHeight="1" s="11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</row>
    <row r="138" ht="12.75" customHeight="1" s="11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</row>
    <row r="139" ht="12.75" customHeight="1" s="11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</row>
    <row r="140" ht="12.75" customHeight="1" s="11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</row>
    <row r="141" ht="12.75" customHeight="1" s="11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</row>
    <row r="142" ht="12.75" customHeight="1" s="11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</row>
    <row r="143" ht="12.75" customHeight="1" s="11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</row>
    <row r="144" ht="12.75" customHeight="1" s="11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</row>
    <row r="145" ht="12.75" customHeight="1" s="11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</row>
    <row r="146" ht="12.75" customHeight="1" s="11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</row>
    <row r="147" ht="12.75" customHeight="1" s="11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</row>
    <row r="148" ht="12.75" customHeight="1" s="11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</row>
    <row r="149" ht="12.75" customHeight="1" s="11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</row>
    <row r="150" ht="12.75" customHeight="1" s="11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</row>
    <row r="151" ht="12.75" customHeight="1" s="11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</row>
    <row r="152" ht="12.75" customHeight="1" s="11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</row>
    <row r="153" ht="12.75" customHeight="1" s="11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</row>
    <row r="154" ht="12.75" customHeight="1" s="11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</row>
    <row r="155" ht="12.75" customHeight="1" s="11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</row>
    <row r="156" ht="12.75" customHeight="1" s="11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</row>
    <row r="157" ht="12.75" customHeight="1" s="11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</row>
    <row r="158" ht="12.75" customHeight="1" s="11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</row>
    <row r="159" ht="12.75" customHeight="1" s="11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</row>
    <row r="160" ht="12.75" customHeight="1" s="11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</row>
    <row r="161" ht="12.75" customHeight="1" s="11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</row>
    <row r="162" ht="12.75" customHeight="1" s="11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</row>
    <row r="163" ht="12.75" customHeight="1" s="11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</row>
    <row r="164" ht="12.75" customHeight="1" s="11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</row>
    <row r="165" ht="12.75" customHeight="1" s="11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</row>
    <row r="166" ht="12.75" customHeight="1" s="11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</row>
    <row r="167" ht="12.75" customHeight="1" s="11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</row>
    <row r="168" ht="12.75" customHeight="1" s="11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</row>
    <row r="169" ht="12.75" customHeight="1" s="11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</row>
    <row r="170" ht="12.75" customHeight="1" s="11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</row>
    <row r="171" ht="12.75" customHeight="1" s="11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</row>
    <row r="172" ht="12.75" customHeight="1" s="11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</row>
    <row r="173" ht="12.75" customHeight="1" s="11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</row>
    <row r="174" ht="12.75" customHeight="1" s="11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</row>
    <row r="175" ht="12.75" customHeight="1" s="11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</row>
    <row r="176" ht="12.75" customHeight="1" s="11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</row>
    <row r="177" ht="12.75" customHeight="1" s="11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</row>
    <row r="178" ht="12.75" customHeight="1" s="11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</row>
    <row r="179" ht="12.75" customHeight="1" s="11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</row>
    <row r="180" ht="12.75" customHeight="1" s="11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</row>
    <row r="181" ht="12.75" customHeight="1" s="11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</row>
    <row r="182" ht="12.75" customHeight="1" s="11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</row>
    <row r="183" ht="12.75" customHeight="1" s="11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</row>
    <row r="184" ht="12.75" customHeight="1" s="11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</row>
    <row r="185" ht="12.75" customHeight="1" s="11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</row>
    <row r="186" ht="12.75" customHeight="1" s="11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</row>
    <row r="187" ht="12.75" customHeight="1" s="11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</row>
    <row r="188" ht="12.75" customHeight="1" s="11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</row>
    <row r="189" ht="12.75" customHeight="1" s="11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</row>
    <row r="190" ht="12.75" customHeight="1" s="11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</row>
    <row r="191" ht="12.75" customHeight="1" s="11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</row>
    <row r="192" ht="12.75" customHeight="1" s="11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</row>
    <row r="193" ht="12.75" customHeight="1" s="11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</row>
    <row r="194" ht="12.75" customHeight="1" s="11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</row>
    <row r="195" ht="12.75" customHeight="1" s="11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</row>
    <row r="196" ht="12.75" customHeight="1" s="11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</row>
    <row r="197" ht="12.75" customHeight="1" s="11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</row>
    <row r="198" ht="12.75" customHeight="1" s="11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</row>
    <row r="199" ht="12.75" customHeight="1" s="11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</row>
    <row r="200" ht="12.75" customHeight="1" s="11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</row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D7:I7"/>
    <mergeCell ref="A6:B6"/>
    <mergeCell ref="U72:Z72"/>
    <mergeCell ref="AL3:AW3"/>
    <mergeCell ref="A1:T1"/>
    <mergeCell ref="AJ1:AY1"/>
    <mergeCell ref="D43:I43"/>
    <mergeCell ref="AP63:AP64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18:B18"/>
    <mergeCell ref="AP15:AP16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95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20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</row>
    <row r="105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</row>
    <row r="117" ht="12.75" customHeight="1" s="1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</row>
    <row r="118" ht="12.75" customHeight="1" s="1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</row>
    <row r="119" ht="12.75" customHeight="1" s="1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</row>
    <row r="120" ht="12.75" customHeight="1" s="1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</row>
    <row r="121" ht="12.75" customHeight="1" s="1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</row>
    <row r="122" ht="12.75" customHeight="1" s="1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</row>
    <row r="123" ht="12.75" customHeight="1" s="1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</row>
    <row r="124" ht="12.75" customHeight="1" s="1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</row>
    <row r="125" ht="12.75" customHeight="1" s="1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</row>
    <row r="126" ht="12.75" customHeight="1" s="1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</row>
    <row r="127" ht="12.75" customHeight="1" s="1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</row>
    <row r="128" ht="12.75" customHeight="1" s="1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</row>
    <row r="129" ht="12.75" customHeight="1" s="1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</row>
    <row r="130" ht="12.75" customHeight="1" s="1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</row>
    <row r="131" ht="12.75" customHeight="1" s="1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</row>
    <row r="132" ht="12.75" customHeight="1" s="1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</row>
    <row r="133" ht="12.75" customHeight="1" s="1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</row>
    <row r="134" ht="12.75" customHeight="1" s="1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</row>
    <row r="135" ht="12.75" customHeight="1" s="1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</row>
    <row r="136" ht="12.75" customHeight="1" s="11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</row>
    <row r="137" ht="12.75" customHeight="1" s="11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</row>
    <row r="138" ht="12.75" customHeight="1" s="11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</row>
    <row r="139" ht="12.75" customHeight="1" s="11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</row>
    <row r="140" ht="12.75" customHeight="1" s="11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</row>
    <row r="141" ht="12.75" customHeight="1" s="11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</row>
    <row r="142" ht="12.75" customHeight="1" s="11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</row>
    <row r="143" ht="12.75" customHeight="1" s="11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</row>
    <row r="144" ht="12.75" customHeight="1" s="11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</row>
    <row r="145" ht="12.75" customHeight="1" s="11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</row>
    <row r="146" ht="12.75" customHeight="1" s="11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</row>
    <row r="147" ht="12.75" customHeight="1" s="11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</row>
    <row r="148" ht="12.75" customHeight="1" s="11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</row>
    <row r="149" ht="12.75" customHeight="1" s="11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</row>
    <row r="150" ht="12.75" customHeight="1" s="11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</row>
    <row r="151" ht="12.75" customHeight="1" s="11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</row>
    <row r="152" ht="12.75" customHeight="1" s="11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</row>
    <row r="153" ht="12.75" customHeight="1" s="11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</row>
    <row r="154" ht="12.75" customHeight="1" s="11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</row>
    <row r="155" ht="12.75" customHeight="1" s="11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</row>
    <row r="156" ht="12.75" customHeight="1" s="11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</row>
    <row r="157" ht="12.75" customHeight="1" s="11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</row>
    <row r="158" ht="12.75" customHeight="1" s="11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</row>
    <row r="159" ht="12.75" customHeight="1" s="11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</row>
    <row r="160" ht="12.75" customHeight="1" s="11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</row>
    <row r="161" ht="12.75" customHeight="1" s="11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</row>
    <row r="162" ht="12.75" customHeight="1" s="11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</row>
    <row r="163" ht="12.75" customHeight="1" s="11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</row>
    <row r="164" ht="12.75" customHeight="1" s="11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</row>
    <row r="165" ht="12.75" customHeight="1" s="11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</row>
    <row r="166" ht="12.75" customHeight="1" s="11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</row>
    <row r="167" ht="12.75" customHeight="1" s="11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</row>
    <row r="168" ht="12.75" customHeight="1" s="11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</row>
    <row r="169" ht="12.75" customHeight="1" s="11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</row>
    <row r="170" ht="12.75" customHeight="1" s="11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</row>
    <row r="171" ht="12.75" customHeight="1" s="11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</row>
    <row r="172" ht="12.75" customHeight="1" s="11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</row>
    <row r="173" ht="12.75" customHeight="1" s="11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</row>
    <row r="174" ht="12.75" customHeight="1" s="11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</row>
    <row r="175" ht="12.75" customHeight="1" s="11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</row>
    <row r="176" ht="12.75" customHeight="1" s="11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</row>
    <row r="177" ht="12.75" customHeight="1" s="11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</row>
    <row r="178" ht="12.75" customHeight="1" s="11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</row>
    <row r="179" ht="12.75" customHeight="1" s="11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</row>
    <row r="180" ht="12.75" customHeight="1" s="11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</row>
    <row r="181" ht="12.75" customHeight="1" s="11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</row>
    <row r="182" ht="12.75" customHeight="1" s="11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</row>
    <row r="183" ht="12.75" customHeight="1" s="11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</row>
    <row r="184" ht="12.75" customHeight="1" s="11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</row>
    <row r="185" ht="12.75" customHeight="1" s="11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</row>
    <row r="186" ht="12.75" customHeight="1" s="11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</row>
    <row r="187" ht="12.75" customHeight="1" s="11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</row>
    <row r="188" ht="12.75" customHeight="1" s="11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</row>
    <row r="189" ht="12.75" customHeight="1" s="11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</row>
    <row r="190" ht="12.75" customHeight="1" s="11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</row>
    <row r="191" ht="12.75" customHeight="1" s="11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</row>
    <row r="192" ht="12.75" customHeight="1" s="11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</row>
    <row r="193" ht="12.75" customHeight="1" s="11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</row>
    <row r="194" ht="12.75" customHeight="1" s="11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</row>
    <row r="195" ht="12.75" customHeight="1" s="11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</row>
    <row r="196" ht="12.75" customHeight="1" s="11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</row>
    <row r="197" ht="12.75" customHeight="1" s="11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</row>
    <row r="198" ht="12.75" customHeight="1" s="11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</row>
    <row r="199" ht="12.75" customHeight="1" s="11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</row>
    <row r="200" ht="12.75" customHeight="1" s="11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</row>
    <row r="201" ht="12.75" customHeight="1" s="11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</row>
    <row r="202" ht="12.75" customHeight="1" s="11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</row>
    <row r="203" ht="12.75" customHeight="1" s="11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</row>
    <row r="204" ht="12.75" customHeight="1" s="11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</row>
    <row r="205" ht="12.75" customHeight="1" s="11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</row>
    <row r="206" ht="12.75" customHeight="1" s="11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</row>
    <row r="207" ht="12.75" customHeight="1" s="11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</row>
    <row r="208" ht="12.75" customHeight="1" s="11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</row>
    <row r="209" ht="12.75" customHeight="1" s="11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</row>
    <row r="210" ht="12.75" customHeight="1" s="11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</row>
    <row r="211" ht="12.75" customHeight="1" s="1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</row>
    <row r="212" ht="12.75" customHeight="1" s="11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</row>
    <row r="213" ht="12.75" customHeight="1" s="11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</row>
    <row r="214" ht="12.75" customHeight="1" s="11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</row>
    <row r="215" ht="12.75" customHeight="1" s="11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</row>
    <row r="216" ht="12.75" customHeight="1" s="11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</row>
    <row r="217" ht="12.75" customHeight="1" s="11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</row>
    <row r="218" ht="12.75" customHeight="1" s="11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</row>
    <row r="219" ht="12.75" customHeight="1" s="11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</row>
    <row r="220" ht="12.75" customHeight="1" s="11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</row>
    <row r="221" ht="12.75" customHeight="1" s="11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</row>
    <row r="222" ht="12.75" customHeight="1" s="11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</row>
    <row r="223" ht="12.75" customHeight="1" s="11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</row>
    <row r="224" ht="12.75" customHeight="1" s="11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</row>
    <row r="225" ht="12.75" customHeight="1" s="11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</row>
    <row r="226" ht="12.75" customHeight="1" s="11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</row>
    <row r="227" ht="12.75" customHeight="1" s="11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</row>
    <row r="228" ht="12.75" customHeight="1" s="11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</row>
    <row r="229" ht="12.75" customHeight="1" s="11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</row>
    <row r="230" ht="12.75" customHeight="1" s="11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</row>
    <row r="231" ht="12.75" customHeight="1" s="11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</row>
    <row r="232" ht="12.75" customHeight="1" s="11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</row>
    <row r="233" ht="12.75" customHeight="1" s="11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</row>
    <row r="234" ht="12.75" customHeight="1" s="11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</row>
    <row r="235" ht="12.75" customHeight="1" s="11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</row>
    <row r="236" ht="12.75" customHeight="1" s="11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</row>
    <row r="237" ht="12.75" customHeight="1" s="11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</row>
    <row r="238" ht="12.75" customHeight="1" s="11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</row>
    <row r="239" ht="12.75" customHeight="1" s="11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</row>
    <row r="240" ht="12.75" customHeight="1" s="11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</row>
    <row r="241" ht="12.75" customHeight="1" s="11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</row>
    <row r="242" ht="12.75" customHeight="1" s="11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</row>
    <row r="243" ht="12.75" customHeight="1" s="11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</row>
    <row r="244" ht="12.75" customHeight="1" s="11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</row>
    <row r="245" ht="12.75" customHeight="1" s="11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</row>
    <row r="246" ht="12.75" customHeight="1" s="11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</row>
    <row r="247" ht="12.75" customHeight="1" s="11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</row>
    <row r="248" ht="12.75" customHeight="1" s="11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</row>
    <row r="249" ht="12.75" customHeight="1" s="11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</row>
    <row r="250" ht="12.75" customHeight="1" s="11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</row>
    <row r="251" ht="12.75" customHeight="1" s="11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</row>
    <row r="252" ht="12.75" customHeight="1" s="11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</row>
    <row r="253" ht="12.75" customHeight="1" s="11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</row>
    <row r="254" ht="12.75" customHeight="1" s="11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</row>
    <row r="255" ht="12.75" customHeight="1" s="11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</row>
    <row r="256" ht="12.75" customHeight="1" s="11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</row>
    <row r="257" ht="12.75" customHeight="1" s="11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</row>
    <row r="258" ht="12.75" customHeight="1" s="11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</row>
    <row r="259" ht="12.75" customHeight="1" s="11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</row>
    <row r="260" ht="12.75" customHeight="1" s="11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</row>
    <row r="261" ht="12.75" customHeight="1" s="11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</row>
    <row r="262" ht="12.75" customHeight="1" s="11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</row>
    <row r="263" ht="12.75" customHeight="1" s="11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</row>
    <row r="264" ht="12.75" customHeight="1" s="11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</row>
    <row r="265" ht="12.75" customHeight="1" s="11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</row>
    <row r="266" ht="12.75" customHeight="1" s="11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</row>
    <row r="267" ht="12.75" customHeight="1" s="11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</row>
    <row r="268" ht="12.75" customHeight="1" s="11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</row>
    <row r="269" ht="12.75" customHeight="1" s="11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</row>
    <row r="270" ht="12.75" customHeight="1" s="11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</row>
    <row r="271" ht="12.75" customHeight="1" s="11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</row>
    <row r="272" ht="12.75" customHeight="1" s="11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</row>
    <row r="273" ht="12.75" customHeight="1" s="11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</row>
    <row r="274" ht="12.75" customHeight="1" s="11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</row>
    <row r="275" ht="12.75" customHeight="1" s="11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</row>
    <row r="276" ht="12.75" customHeight="1" s="11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</row>
    <row r="277" ht="12.75" customHeight="1" s="11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</row>
    <row r="278" ht="12.75" customHeight="1" s="11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</row>
    <row r="279" ht="12.75" customHeight="1" s="11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</row>
    <row r="280" ht="12.75" customHeight="1" s="11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</row>
    <row r="281" ht="12.75" customHeight="1" s="11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</row>
    <row r="282" ht="12.75" customHeight="1" s="11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</row>
    <row r="283" ht="12.75" customHeight="1" s="11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</row>
    <row r="284" ht="12.75" customHeight="1" s="11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</row>
    <row r="285" ht="12.75" customHeight="1" s="11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</row>
    <row r="286" ht="12.75" customHeight="1" s="11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</row>
    <row r="287" ht="12.75" customHeight="1" s="11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</row>
    <row r="288" ht="12.75" customHeight="1" s="11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</row>
    <row r="289" ht="12.75" customHeight="1" s="11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</row>
    <row r="290" ht="12.75" customHeight="1" s="11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</row>
    <row r="291" ht="12.75" customHeight="1" s="11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</row>
    <row r="292" ht="12.75" customHeight="1" s="11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</row>
    <row r="293" ht="12.75" customHeight="1" s="11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</row>
    <row r="294" ht="12.75" customHeight="1" s="11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</row>
    <row r="295" ht="12.75" customHeight="1" s="11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</row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931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2.7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2.7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2.7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2.7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2.7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2.7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2.7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2.7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2.7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2.7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2.7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2.7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2.7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2.7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2.7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2.7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2.7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2.7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</row>
    <row r="105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</row>
    <row r="117" ht="12.75" customHeight="1" s="1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</row>
    <row r="118" ht="12.75" customHeight="1" s="1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</row>
    <row r="119" ht="12.75" customHeight="1" s="1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</row>
    <row r="120" ht="12.75" customHeight="1" s="1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</row>
    <row r="121" ht="12.75" customHeight="1" s="1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</row>
    <row r="122" ht="12.75" customHeight="1" s="1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</row>
    <row r="123" ht="12.75" customHeight="1" s="1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</row>
    <row r="124" ht="12.75" customHeight="1" s="1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</row>
    <row r="125" ht="12.75" customHeight="1" s="1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</row>
    <row r="126" ht="12.75" customHeight="1" s="1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</row>
    <row r="127" ht="12.75" customHeight="1" s="1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</row>
    <row r="128" ht="12.75" customHeight="1" s="1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</row>
    <row r="129" ht="12.75" customHeight="1" s="1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</row>
    <row r="130" ht="12.75" customHeight="1" s="1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</row>
    <row r="131" ht="12.75" customHeight="1" s="1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</row>
    <row r="132" ht="12.75" customHeight="1" s="1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</row>
    <row r="133" ht="12.75" customHeight="1" s="1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</row>
    <row r="134" ht="12.75" customHeight="1" s="1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</row>
    <row r="135" ht="12.75" customHeight="1" s="1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</row>
    <row r="136" ht="12.75" customHeight="1" s="11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</row>
    <row r="137" ht="12.75" customHeight="1" s="11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</row>
    <row r="138" ht="12.75" customHeight="1" s="11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</row>
    <row r="139" ht="12.75" customHeight="1" s="11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</row>
    <row r="140" ht="12.75" customHeight="1" s="11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</row>
    <row r="141" ht="12.75" customHeight="1" s="11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</row>
    <row r="142" ht="12.75" customHeight="1" s="11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</row>
    <row r="143" ht="12.75" customHeight="1" s="11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</row>
    <row r="144" ht="12.75" customHeight="1" s="11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</row>
    <row r="145" ht="12.75" customHeight="1" s="11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</row>
    <row r="146" ht="12.75" customHeight="1" s="11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</row>
    <row r="147" ht="12.75" customHeight="1" s="11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</row>
    <row r="148" ht="12.75" customHeight="1" s="11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</row>
    <row r="149" ht="12.75" customHeight="1" s="11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</row>
    <row r="150" ht="12.75" customHeight="1" s="11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</row>
    <row r="151" ht="12.75" customHeight="1" s="11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</row>
    <row r="152" ht="12.75" customHeight="1" s="11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</row>
    <row r="153" ht="12.75" customHeight="1" s="11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</row>
    <row r="154" ht="12.75" customHeight="1" s="11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</row>
    <row r="155" ht="12.75" customHeight="1" s="11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</row>
    <row r="156" ht="12.75" customHeight="1" s="11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</row>
    <row r="157" ht="12.75" customHeight="1" s="11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</row>
    <row r="158" ht="12.75" customHeight="1" s="11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</row>
    <row r="159" ht="12.75" customHeight="1" s="11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</row>
    <row r="160" ht="12.75" customHeight="1" s="11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</row>
    <row r="161" ht="12.75" customHeight="1" s="11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</row>
    <row r="162" ht="12.75" customHeight="1" s="11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</row>
    <row r="163" ht="12.75" customHeight="1" s="11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</row>
    <row r="164" ht="12.75" customHeight="1" s="11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</row>
    <row r="165" ht="12.75" customHeight="1" s="11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</row>
    <row r="166" ht="12.75" customHeight="1" s="11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</row>
    <row r="167" ht="12.75" customHeight="1" s="11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</row>
    <row r="168" ht="12.75" customHeight="1" s="11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</row>
    <row r="169" ht="12.75" customHeight="1" s="11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</row>
    <row r="170" ht="12.75" customHeight="1" s="11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</row>
    <row r="171" ht="12.75" customHeight="1" s="11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</row>
    <row r="172" ht="12.75" customHeight="1" s="11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</row>
    <row r="173" ht="12.75" customHeight="1" s="11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</row>
    <row r="174" ht="12.75" customHeight="1" s="11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</row>
    <row r="175" ht="12.75" customHeight="1" s="11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</row>
    <row r="176" ht="12.75" customHeight="1" s="11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</row>
    <row r="177" ht="12.75" customHeight="1" s="11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</row>
    <row r="178" ht="12.75" customHeight="1" s="11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</row>
    <row r="179" ht="12.75" customHeight="1" s="11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</row>
    <row r="180" ht="12.75" customHeight="1" s="11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</row>
    <row r="181" ht="12.75" customHeight="1" s="11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</row>
    <row r="182" ht="12.75" customHeight="1" s="11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</row>
    <row r="183" ht="12.75" customHeight="1" s="11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</row>
    <row r="184" ht="12.75" customHeight="1" s="11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</row>
    <row r="185" ht="12.75" customHeight="1" s="11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</row>
    <row r="186" ht="12.75" customHeight="1" s="11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</row>
    <row r="187" ht="12.75" customHeight="1" s="11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</row>
    <row r="188" ht="12.75" customHeight="1" s="11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</row>
    <row r="189" ht="12.75" customHeight="1" s="11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</row>
    <row r="190" ht="12.75" customHeight="1" s="11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</row>
    <row r="191" ht="12.75" customHeight="1" s="11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</row>
    <row r="192" ht="12.75" customHeight="1" s="11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</row>
    <row r="193" ht="12.75" customHeight="1" s="11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</row>
    <row r="194" ht="12.75" customHeight="1" s="11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</row>
    <row r="195" ht="12.75" customHeight="1" s="11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</row>
    <row r="196" ht="12.75" customHeight="1" s="11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</row>
    <row r="197" ht="12.75" customHeight="1" s="11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</row>
    <row r="198" ht="12.75" customHeight="1" s="11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</row>
    <row r="199" ht="12.75" customHeight="1" s="11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</row>
    <row r="200" ht="12.75" customHeight="1" s="11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</row>
    <row r="201" ht="12.75" customHeight="1" s="11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</row>
    <row r="202" ht="12.75" customHeight="1" s="11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</row>
    <row r="203" ht="12.75" customHeight="1" s="11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</row>
    <row r="204" ht="12.75" customHeight="1" s="11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</row>
    <row r="205" ht="12.75" customHeight="1" s="11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</row>
    <row r="206" ht="12.75" customHeight="1" s="11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</row>
    <row r="207" ht="12.75" customHeight="1" s="11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</row>
    <row r="208" ht="12.75" customHeight="1" s="11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</row>
    <row r="209" ht="12.75" customHeight="1" s="11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</row>
    <row r="210" ht="12.75" customHeight="1" s="11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</row>
    <row r="211" ht="12.75" customHeight="1" s="1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</row>
    <row r="212" ht="12.75" customHeight="1" s="11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</row>
    <row r="213" ht="12.75" customHeight="1" s="11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</row>
    <row r="214" ht="12.75" customHeight="1" s="11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</row>
    <row r="215" ht="12.75" customHeight="1" s="11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</row>
    <row r="216" ht="12.75" customHeight="1" s="11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</row>
    <row r="217" ht="12.75" customHeight="1" s="11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</row>
    <row r="218" ht="12.75" customHeight="1" s="11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</row>
    <row r="219" ht="12.75" customHeight="1" s="11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</row>
    <row r="220" ht="12.75" customHeight="1" s="11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</row>
    <row r="221" ht="12.75" customHeight="1" s="11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</row>
    <row r="222" ht="12.75" customHeight="1" s="11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</row>
    <row r="223" ht="12.75" customHeight="1" s="11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</row>
    <row r="224" ht="12.75" customHeight="1" s="11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</row>
    <row r="225" ht="12.75" customHeight="1" s="11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</row>
    <row r="226" ht="12.75" customHeight="1" s="11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</row>
    <row r="227" ht="12.75" customHeight="1" s="11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</row>
    <row r="228" ht="12.75" customHeight="1" s="11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</row>
    <row r="229" ht="12.75" customHeight="1" s="11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</row>
    <row r="230" ht="12.75" customHeight="1" s="11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</row>
    <row r="231" ht="12.75" customHeight="1" s="11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</row>
    <row r="232" ht="12.75" customHeight="1" s="11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</row>
    <row r="233" ht="12.75" customHeight="1" s="11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</row>
    <row r="234" ht="12.75" customHeight="1" s="11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</row>
    <row r="235" ht="12.75" customHeight="1" s="11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</row>
    <row r="236" ht="12.75" customHeight="1" s="11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</row>
    <row r="237" ht="12.75" customHeight="1" s="11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</row>
    <row r="238" ht="12.75" customHeight="1" s="11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</row>
    <row r="239" ht="12.75" customHeight="1" s="11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</row>
    <row r="240" ht="12.75" customHeight="1" s="11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</row>
    <row r="241" ht="12.75" customHeight="1" s="11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</row>
    <row r="242" ht="12.75" customHeight="1" s="11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</row>
    <row r="243" ht="12.75" customHeight="1" s="11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</row>
    <row r="244" ht="12.75" customHeight="1" s="11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</row>
    <row r="245" ht="12.75" customHeight="1" s="11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</row>
    <row r="246" ht="12.75" customHeight="1" s="11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</row>
    <row r="247" ht="12.75" customHeight="1" s="11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</row>
    <row r="248" ht="12.75" customHeight="1" s="11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</row>
    <row r="249" ht="12.75" customHeight="1" s="11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</row>
    <row r="250" ht="12.75" customHeight="1" s="11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</row>
    <row r="251" ht="12.75" customHeight="1" s="11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</row>
    <row r="252" ht="12.75" customHeight="1" s="11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</row>
    <row r="253" ht="12.75" customHeight="1" s="11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</row>
    <row r="254" ht="12.75" customHeight="1" s="11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</row>
    <row r="255" ht="12.75" customHeight="1" s="11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</row>
    <row r="256" ht="12.75" customHeight="1" s="11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</row>
    <row r="257" ht="12.75" customHeight="1" s="11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</row>
    <row r="258" ht="12.75" customHeight="1" s="11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</row>
    <row r="259" ht="12.75" customHeight="1" s="11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</row>
    <row r="260" ht="12.75" customHeight="1" s="11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</row>
    <row r="261" ht="12.75" customHeight="1" s="11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</row>
    <row r="262" ht="12.75" customHeight="1" s="11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</row>
    <row r="263" ht="12.75" customHeight="1" s="11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</row>
    <row r="264" ht="12.75" customHeight="1" s="11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</row>
    <row r="265" ht="12.75" customHeight="1" s="11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</row>
    <row r="266" ht="12.75" customHeight="1" s="11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</row>
    <row r="267" ht="12.75" customHeight="1" s="11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</row>
    <row r="268" ht="12.75" customHeight="1" s="11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</row>
    <row r="269" ht="12.75" customHeight="1" s="11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</row>
    <row r="270" ht="12.75" customHeight="1" s="11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</row>
    <row r="271" ht="12.75" customHeight="1" s="11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</row>
    <row r="272" ht="12.75" customHeight="1" s="11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</row>
    <row r="273" ht="12.75" customHeight="1" s="11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</row>
    <row r="274" ht="12.75" customHeight="1" s="11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</row>
    <row r="275" ht="12.75" customHeight="1" s="11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</row>
    <row r="276" ht="12.75" customHeight="1" s="11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</row>
    <row r="277" ht="12.75" customHeight="1" s="11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</row>
    <row r="278" ht="12.75" customHeight="1" s="11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</row>
    <row r="279" ht="12.75" customHeight="1" s="11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</row>
    <row r="280" ht="12.75" customHeight="1" s="11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</row>
    <row r="281" ht="12.75" customHeight="1" s="11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</row>
    <row r="282" ht="12.75" customHeight="1" s="11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</row>
    <row r="283" ht="12.75" customHeight="1" s="11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</row>
    <row r="284" ht="12.75" customHeight="1" s="11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</row>
    <row r="285" ht="12.75" customHeight="1" s="11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</row>
    <row r="286" ht="12.75" customHeight="1" s="11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</row>
    <row r="287" ht="12.75" customHeight="1" s="11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</row>
    <row r="288" ht="12.75" customHeight="1" s="11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</row>
    <row r="289" ht="12.75" customHeight="1" s="11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</row>
    <row r="290" ht="12.75" customHeight="1" s="11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</row>
    <row r="291" ht="12.75" customHeight="1" s="11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</row>
    <row r="292" ht="12.75" customHeight="1" s="11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</row>
    <row r="293" ht="12.75" customHeight="1" s="11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</row>
    <row r="294" ht="12.75" customHeight="1" s="11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</row>
    <row r="295" ht="12.75" customHeight="1" s="11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</row>
    <row r="296" ht="12.75" customHeight="1" s="11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</row>
    <row r="297" ht="12.75" customHeight="1" s="11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</row>
    <row r="298" ht="12.75" customHeight="1" s="11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</row>
    <row r="299" ht="12.75" customHeight="1" s="11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</row>
    <row r="300" ht="12.75" customHeight="1" s="11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</row>
    <row r="301" ht="12.75" customHeight="1" s="11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</row>
    <row r="302" ht="12.75" customHeight="1" s="11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</row>
    <row r="303" ht="12.75" customHeight="1" s="11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</row>
    <row r="304" ht="12.75" customHeight="1" s="11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</row>
    <row r="305" ht="12.75" customHeight="1" s="11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</row>
    <row r="306" ht="12.75" customHeight="1" s="11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6" t="n"/>
      <c r="BM306" s="6" t="n"/>
      <c r="BN306" s="6" t="n"/>
      <c r="BO306" s="6" t="n"/>
    </row>
    <row r="307" ht="12.75" customHeight="1" s="11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</row>
    <row r="308" ht="12.75" customHeight="1" s="11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</row>
    <row r="309" ht="12.75" customHeight="1" s="11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</row>
    <row r="310" ht="12.75" customHeight="1" s="11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</row>
    <row r="311" ht="12.75" customHeight="1" s="1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</row>
    <row r="312" ht="12.75" customHeight="1" s="11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</row>
    <row r="313" ht="12.75" customHeight="1" s="11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</row>
    <row r="314" ht="12.75" customHeight="1" s="11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</row>
    <row r="315" ht="12.75" customHeight="1" s="11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</row>
    <row r="316" ht="12.75" customHeight="1" s="11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</row>
    <row r="317" ht="12.75" customHeight="1" s="11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</row>
    <row r="318" ht="12.75" customHeight="1" s="11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  <c r="BL318" s="6" t="n"/>
      <c r="BM318" s="6" t="n"/>
      <c r="BN318" s="6" t="n"/>
      <c r="BO318" s="6" t="n"/>
    </row>
    <row r="319" ht="12.75" customHeight="1" s="11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</row>
    <row r="320" ht="12.75" customHeight="1" s="11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</row>
    <row r="321" ht="12.75" customHeight="1" s="11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</row>
    <row r="322" ht="12.75" customHeight="1" s="11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</row>
    <row r="323" ht="12.75" customHeight="1" s="11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</row>
    <row r="324" ht="12.75" customHeight="1" s="11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</row>
    <row r="325" ht="12.75" customHeight="1" s="11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</row>
    <row r="326" ht="12.75" customHeight="1" s="11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</row>
    <row r="327" ht="12.75" customHeight="1" s="11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  <c r="BL327" s="6" t="n"/>
      <c r="BM327" s="6" t="n"/>
      <c r="BN327" s="6" t="n"/>
      <c r="BO327" s="6" t="n"/>
    </row>
    <row r="328" ht="12.75" customHeight="1" s="11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  <c r="BL328" s="6" t="n"/>
      <c r="BM328" s="6" t="n"/>
      <c r="BN328" s="6" t="n"/>
      <c r="BO328" s="6" t="n"/>
    </row>
    <row r="329" ht="12.75" customHeight="1" s="11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</row>
    <row r="330" ht="12.75" customHeight="1" s="11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</row>
    <row r="331" ht="12.75" customHeight="1" s="11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</row>
    <row r="332" ht="12.75" customHeight="1" s="11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</row>
    <row r="333" ht="12.75" customHeight="1" s="11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</row>
    <row r="334" ht="12.75" customHeight="1" s="11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</row>
    <row r="335" ht="12.75" customHeight="1" s="11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6" t="n"/>
      <c r="BM335" s="6" t="n"/>
      <c r="BN335" s="6" t="n"/>
      <c r="BO335" s="6" t="n"/>
    </row>
    <row r="336" ht="12.75" customHeight="1" s="11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  <c r="BL336" s="6" t="n"/>
      <c r="BM336" s="6" t="n"/>
      <c r="BN336" s="6" t="n"/>
      <c r="BO336" s="6" t="n"/>
    </row>
    <row r="337" ht="12.75" customHeight="1" s="11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  <c r="BL337" s="6" t="n"/>
      <c r="BM337" s="6" t="n"/>
      <c r="BN337" s="6" t="n"/>
      <c r="BO337" s="6" t="n"/>
    </row>
    <row r="338" ht="12.75" customHeight="1" s="11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</row>
    <row r="339" ht="12.75" customHeight="1" s="11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</row>
    <row r="340" ht="12.75" customHeight="1" s="11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</row>
    <row r="341" ht="12.75" customHeight="1" s="11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</row>
    <row r="342" ht="12.75" customHeight="1" s="11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</row>
    <row r="343" ht="12.75" customHeight="1" s="11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</row>
    <row r="344" ht="12.75" customHeight="1" s="11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</row>
    <row r="345" ht="12.75" customHeight="1" s="11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</row>
    <row r="346" ht="12.75" customHeight="1" s="11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  <c r="BL346" s="6" t="n"/>
      <c r="BM346" s="6" t="n"/>
      <c r="BN346" s="6" t="n"/>
      <c r="BO346" s="6" t="n"/>
    </row>
    <row r="347" ht="12.75" customHeight="1" s="11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</row>
    <row r="348" ht="12.75" customHeight="1" s="11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</row>
    <row r="349" ht="12.75" customHeight="1" s="11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</row>
    <row r="350" ht="12.75" customHeight="1" s="11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</row>
    <row r="351" ht="12.75" customHeight="1" s="11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  <c r="BL351" s="6" t="n"/>
      <c r="BM351" s="6" t="n"/>
      <c r="BN351" s="6" t="n"/>
      <c r="BO351" s="6" t="n"/>
    </row>
    <row r="352" ht="12.75" customHeight="1" s="11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  <c r="BL352" s="6" t="n"/>
      <c r="BM352" s="6" t="n"/>
      <c r="BN352" s="6" t="n"/>
      <c r="BO352" s="6" t="n"/>
    </row>
    <row r="353" ht="12.75" customHeight="1" s="11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  <c r="BL353" s="6" t="n"/>
      <c r="BM353" s="6" t="n"/>
      <c r="BN353" s="6" t="n"/>
      <c r="BO353" s="6" t="n"/>
    </row>
    <row r="354" ht="12.75" customHeight="1" s="11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  <c r="BL354" s="6" t="n"/>
      <c r="BM354" s="6" t="n"/>
      <c r="BN354" s="6" t="n"/>
      <c r="BO354" s="6" t="n"/>
    </row>
    <row r="355" ht="12.75" customHeight="1" s="11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</row>
    <row r="356" ht="12.75" customHeight="1" s="11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</row>
    <row r="357" ht="12.75" customHeight="1" s="11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  <c r="BL357" s="6" t="n"/>
      <c r="BM357" s="6" t="n"/>
      <c r="BN357" s="6" t="n"/>
      <c r="BO357" s="6" t="n"/>
    </row>
    <row r="358" ht="12.75" customHeight="1" s="11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  <c r="BL358" s="6" t="n"/>
      <c r="BM358" s="6" t="n"/>
      <c r="BN358" s="6" t="n"/>
      <c r="BO358" s="6" t="n"/>
    </row>
    <row r="359" ht="12.75" customHeight="1" s="11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</row>
    <row r="360" ht="12.75" customHeight="1" s="11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</row>
    <row r="361" ht="12.75" customHeight="1" s="11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</row>
    <row r="362" ht="12.75" customHeight="1" s="11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</row>
    <row r="363" ht="12.75" customHeight="1" s="11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</row>
    <row r="364" ht="12.75" customHeight="1" s="11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</row>
    <row r="365" ht="12.75" customHeight="1" s="11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</row>
    <row r="366" ht="12.75" customHeight="1" s="11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</row>
    <row r="367" ht="12.75" customHeight="1" s="11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</row>
    <row r="368" ht="12.75" customHeight="1" s="11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</row>
    <row r="369" ht="12.75" customHeight="1" s="11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</row>
    <row r="370" ht="12.75" customHeight="1" s="11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  <c r="BL370" s="6" t="n"/>
      <c r="BM370" s="6" t="n"/>
      <c r="BN370" s="6" t="n"/>
      <c r="BO370" s="6" t="n"/>
    </row>
    <row r="371" ht="12.75" customHeight="1" s="11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  <c r="BL371" s="6" t="n"/>
      <c r="BM371" s="6" t="n"/>
      <c r="BN371" s="6" t="n"/>
      <c r="BO371" s="6" t="n"/>
    </row>
    <row r="372" ht="12.75" customHeight="1" s="11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  <c r="BL372" s="6" t="n"/>
      <c r="BM372" s="6" t="n"/>
      <c r="BN372" s="6" t="n"/>
      <c r="BO372" s="6" t="n"/>
    </row>
    <row r="373" ht="12.75" customHeight="1" s="11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</row>
    <row r="374" ht="12.75" customHeight="1" s="11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</row>
    <row r="375" ht="12.75" customHeight="1" s="11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</row>
    <row r="376" ht="12.75" customHeight="1" s="11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</row>
    <row r="377" ht="12.75" customHeight="1" s="11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  <c r="BL377" s="6" t="n"/>
      <c r="BM377" s="6" t="n"/>
      <c r="BN377" s="6" t="n"/>
      <c r="BO377" s="6" t="n"/>
    </row>
    <row r="378" ht="12.75" customHeight="1" s="11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  <c r="BL378" s="6" t="n"/>
      <c r="BM378" s="6" t="n"/>
      <c r="BN378" s="6" t="n"/>
      <c r="BO378" s="6" t="n"/>
    </row>
    <row r="379" ht="12.75" customHeight="1" s="11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</row>
    <row r="380" ht="12.75" customHeight="1" s="11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</row>
    <row r="381" ht="12.75" customHeight="1" s="11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  <c r="BL381" s="6" t="n"/>
      <c r="BM381" s="6" t="n"/>
      <c r="BN381" s="6" t="n"/>
      <c r="BO381" s="6" t="n"/>
    </row>
    <row r="382" ht="12.75" customHeight="1" s="11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  <c r="BL382" s="6" t="n"/>
      <c r="BM382" s="6" t="n"/>
      <c r="BN382" s="6" t="n"/>
      <c r="BO382" s="6" t="n"/>
    </row>
    <row r="383" ht="12.75" customHeight="1" s="11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</row>
    <row r="384" ht="12.75" customHeight="1" s="11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</row>
    <row r="385" ht="12.75" customHeight="1" s="11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</row>
    <row r="386" ht="12.75" customHeight="1" s="11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</row>
    <row r="387" ht="12.75" customHeight="1" s="11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</row>
    <row r="388" ht="12.75" customHeight="1" s="11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6" t="n"/>
      <c r="BM388" s="6" t="n"/>
      <c r="BN388" s="6" t="n"/>
      <c r="BO388" s="6" t="n"/>
    </row>
    <row r="389" ht="12.75" customHeight="1" s="11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  <c r="BL389" s="6" t="n"/>
      <c r="BM389" s="6" t="n"/>
      <c r="BN389" s="6" t="n"/>
      <c r="BO389" s="6" t="n"/>
    </row>
    <row r="390" ht="12.75" customHeight="1" s="11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  <c r="BL390" s="6" t="n"/>
      <c r="BM390" s="6" t="n"/>
      <c r="BN390" s="6" t="n"/>
      <c r="BO390" s="6" t="n"/>
    </row>
    <row r="391" ht="12.75" customHeight="1" s="11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  <c r="BL391" s="6" t="n"/>
      <c r="BM391" s="6" t="n"/>
      <c r="BN391" s="6" t="n"/>
      <c r="BO391" s="6" t="n"/>
    </row>
    <row r="392" ht="12.75" customHeight="1" s="11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/>
    </row>
    <row r="393" ht="12.75" customHeight="1" s="11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  <c r="BL393" s="6" t="n"/>
      <c r="BM393" s="6" t="n"/>
      <c r="BN393" s="6" t="n"/>
      <c r="BO393" s="6" t="n"/>
    </row>
    <row r="394" ht="12.75" customHeight="1" s="11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  <c r="BL394" s="6" t="n"/>
      <c r="BM394" s="6" t="n"/>
      <c r="BN394" s="6" t="n"/>
      <c r="BO394" s="6" t="n"/>
    </row>
    <row r="395" ht="12.75" customHeight="1" s="11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  <c r="BL395" s="6" t="n"/>
      <c r="BM395" s="6" t="n"/>
      <c r="BN395" s="6" t="n"/>
      <c r="BO395" s="6" t="n"/>
    </row>
    <row r="396" ht="12.75" customHeight="1" s="11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6" t="n"/>
      <c r="BM396" s="6" t="n"/>
      <c r="BN396" s="6" t="n"/>
      <c r="BO396" s="6" t="n"/>
    </row>
    <row r="397" ht="12.75" customHeight="1" s="11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</row>
    <row r="398" ht="12.75" customHeight="1" s="11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</row>
    <row r="399" ht="12.75" customHeight="1" s="11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  <c r="BL399" s="6" t="n"/>
      <c r="BM399" s="6" t="n"/>
      <c r="BN399" s="6" t="n"/>
      <c r="BO399" s="6" t="n"/>
    </row>
    <row r="400" ht="12.75" customHeight="1" s="11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  <c r="BL400" s="6" t="n"/>
      <c r="BM400" s="6" t="n"/>
      <c r="BN400" s="6" t="n"/>
      <c r="BO400" s="6" t="n"/>
    </row>
    <row r="401" ht="12.75" customHeight="1" s="11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</row>
    <row r="402" ht="12.75" customHeight="1" s="11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/>
    </row>
    <row r="403" ht="12.75" customHeight="1" s="11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/>
    </row>
    <row r="404" ht="12.75" customHeight="1" s="11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</row>
    <row r="405" ht="12.75" customHeight="1" s="11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</row>
    <row r="406" ht="12.75" customHeight="1" s="11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</row>
    <row r="407" ht="12.75" customHeight="1" s="11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</row>
    <row r="408" ht="12.75" customHeight="1" s="11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/>
    </row>
    <row r="409" ht="12.75" customHeight="1" s="11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</row>
    <row r="410" ht="12.75" customHeight="1" s="11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</row>
    <row r="411" ht="12.75" customHeight="1" s="1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/>
    </row>
    <row r="412" ht="12.75" customHeight="1" s="11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/>
    </row>
    <row r="413" ht="12.75" customHeight="1" s="11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</row>
    <row r="414" ht="12.75" customHeight="1" s="11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</row>
    <row r="415" ht="12.75" customHeight="1" s="11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/>
    </row>
    <row r="416" ht="12.75" customHeight="1" s="11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</row>
    <row r="417" ht="12.75" customHeight="1" s="11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/>
    </row>
    <row r="418" ht="12.75" customHeight="1" s="11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/>
    </row>
    <row r="419" ht="12.75" customHeight="1" s="11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</row>
    <row r="420" ht="12.75" customHeight="1" s="11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  <c r="BL420" s="6" t="n"/>
      <c r="BM420" s="6" t="n"/>
      <c r="BN420" s="6" t="n"/>
      <c r="BO420" s="6" t="n"/>
    </row>
    <row r="421" ht="12.75" customHeight="1" s="11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</row>
    <row r="422" ht="12.75" customHeight="1" s="11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</row>
    <row r="423" ht="12.75" customHeight="1" s="11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6" t="n"/>
      <c r="BM423" s="6" t="n"/>
      <c r="BN423" s="6" t="n"/>
      <c r="BO423" s="6" t="n"/>
    </row>
    <row r="424" ht="12.75" customHeight="1" s="11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</row>
    <row r="425" ht="12.75" customHeight="1" s="11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</row>
    <row r="426" ht="12.75" customHeight="1" s="11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</row>
    <row r="427" ht="12.75" customHeight="1" s="11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/>
    </row>
    <row r="428" ht="12.75" customHeight="1" s="11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</row>
    <row r="429" ht="12.75" customHeight="1" s="11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</row>
    <row r="430" ht="12.75" customHeight="1" s="11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</row>
    <row r="431" ht="12.75" customHeight="1" s="11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/>
    </row>
    <row r="432" ht="12.75" customHeight="1" s="11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</row>
    <row r="433" ht="12.75" customHeight="1" s="11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</row>
    <row r="434" ht="12.75" customHeight="1" s="11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</row>
    <row r="435" ht="12.75" customHeight="1" s="11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/>
    </row>
    <row r="436" ht="12.75" customHeight="1" s="11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/>
    </row>
    <row r="437" ht="12.75" customHeight="1" s="11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</row>
    <row r="438" ht="12.75" customHeight="1" s="11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/>
    </row>
    <row r="439" ht="12.75" customHeight="1" s="11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</row>
    <row r="440" ht="12.75" customHeight="1" s="11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/>
    </row>
    <row r="441" ht="12.75" customHeight="1" s="11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/>
    </row>
    <row r="442" ht="12.75" customHeight="1" s="11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</row>
    <row r="443" ht="12.75" customHeight="1" s="11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/>
    </row>
    <row r="444" ht="12.75" customHeight="1" s="11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/>
    </row>
    <row r="445" ht="12.75" customHeight="1" s="11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</row>
    <row r="446" ht="12.75" customHeight="1" s="11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  <c r="BL446" s="6" t="n"/>
      <c r="BM446" s="6" t="n"/>
      <c r="BN446" s="6" t="n"/>
      <c r="BO446" s="6" t="n"/>
    </row>
    <row r="447" ht="12.75" customHeight="1" s="11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  <c r="BL447" s="6" t="n"/>
      <c r="BM447" s="6" t="n"/>
      <c r="BN447" s="6" t="n"/>
      <c r="BO447" s="6" t="n"/>
    </row>
    <row r="448" ht="12.75" customHeight="1" s="11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</row>
    <row r="449" ht="12.75" customHeight="1" s="11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  <c r="BL449" s="6" t="n"/>
      <c r="BM449" s="6" t="n"/>
      <c r="BN449" s="6" t="n"/>
      <c r="BO449" s="6" t="n"/>
    </row>
    <row r="450" ht="12.75" customHeight="1" s="11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  <c r="BL450" s="6" t="n"/>
      <c r="BM450" s="6" t="n"/>
      <c r="BN450" s="6" t="n"/>
      <c r="BO450" s="6" t="n"/>
    </row>
    <row r="451" ht="12.75" customHeight="1" s="11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/>
    </row>
    <row r="452" ht="12.75" customHeight="1" s="11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</row>
    <row r="453" ht="12.75" customHeight="1" s="11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  <c r="BL453" s="6" t="n"/>
      <c r="BM453" s="6" t="n"/>
      <c r="BN453" s="6" t="n"/>
      <c r="BO453" s="6" t="n"/>
    </row>
    <row r="454" ht="12.75" customHeight="1" s="11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  <c r="BL454" s="6" t="n"/>
      <c r="BM454" s="6" t="n"/>
      <c r="BN454" s="6" t="n"/>
      <c r="BO454" s="6" t="n"/>
    </row>
    <row r="455" ht="12.75" customHeight="1" s="11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  <c r="BL455" s="6" t="n"/>
      <c r="BM455" s="6" t="n"/>
      <c r="BN455" s="6" t="n"/>
      <c r="BO455" s="6" t="n"/>
    </row>
    <row r="456" ht="12.75" customHeight="1" s="11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/>
    </row>
    <row r="457" ht="12.75" customHeight="1" s="11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  <c r="BL457" s="6" t="n"/>
      <c r="BM457" s="6" t="n"/>
      <c r="BN457" s="6" t="n"/>
      <c r="BO457" s="6" t="n"/>
    </row>
    <row r="458" ht="12.75" customHeight="1" s="11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  <c r="BL458" s="6" t="n"/>
      <c r="BM458" s="6" t="n"/>
      <c r="BN458" s="6" t="n"/>
      <c r="BO458" s="6" t="n"/>
    </row>
    <row r="459" ht="12.75" customHeight="1" s="11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  <c r="BL459" s="6" t="n"/>
      <c r="BM459" s="6" t="n"/>
      <c r="BN459" s="6" t="n"/>
      <c r="BO459" s="6" t="n"/>
    </row>
    <row r="460" ht="12.75" customHeight="1" s="11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/>
    </row>
    <row r="461" ht="12.75" customHeight="1" s="11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  <c r="BL461" s="6" t="n"/>
      <c r="BM461" s="6" t="n"/>
      <c r="BN461" s="6" t="n"/>
      <c r="BO461" s="6" t="n"/>
    </row>
    <row r="462" ht="12.75" customHeight="1" s="11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  <c r="BL462" s="6" t="n"/>
      <c r="BM462" s="6" t="n"/>
      <c r="BN462" s="6" t="n"/>
      <c r="BO462" s="6" t="n"/>
    </row>
    <row r="463" ht="12.75" customHeight="1" s="11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/>
    </row>
    <row r="464" ht="12.75" customHeight="1" s="11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</row>
    <row r="465" ht="12.75" customHeight="1" s="11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  <c r="BL465" s="6" t="n"/>
      <c r="BM465" s="6" t="n"/>
      <c r="BN465" s="6" t="n"/>
      <c r="BO465" s="6" t="n"/>
    </row>
    <row r="466" ht="12.75" customHeight="1" s="11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  <c r="BL466" s="6" t="n"/>
      <c r="BM466" s="6" t="n"/>
      <c r="BN466" s="6" t="n"/>
      <c r="BO466" s="6" t="n"/>
    </row>
    <row r="467" ht="12.75" customHeight="1" s="11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  <c r="BL467" s="6" t="n"/>
      <c r="BM467" s="6" t="n"/>
      <c r="BN467" s="6" t="n"/>
      <c r="BO467" s="6" t="n"/>
    </row>
    <row r="468" ht="12.75" customHeight="1" s="11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/>
    </row>
    <row r="469" ht="12.75" customHeight="1" s="11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  <c r="BL469" s="6" t="n"/>
      <c r="BM469" s="6" t="n"/>
      <c r="BN469" s="6" t="n"/>
      <c r="BO469" s="6" t="n"/>
    </row>
    <row r="470" ht="12.75" customHeight="1" s="11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</row>
    <row r="471" ht="12.75" customHeight="1" s="11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  <c r="BL471" s="6" t="n"/>
      <c r="BM471" s="6" t="n"/>
      <c r="BN471" s="6" t="n"/>
      <c r="BO471" s="6" t="n"/>
    </row>
    <row r="472" ht="12.75" customHeight="1" s="11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  <c r="BL472" s="6" t="n"/>
      <c r="BM472" s="6" t="n"/>
      <c r="BN472" s="6" t="n"/>
      <c r="BO472" s="6" t="n"/>
    </row>
    <row r="473" ht="12.75" customHeight="1" s="11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  <c r="BL473" s="6" t="n"/>
      <c r="BM473" s="6" t="n"/>
      <c r="BN473" s="6" t="n"/>
      <c r="BO473" s="6" t="n"/>
    </row>
    <row r="474" ht="12.75" customHeight="1" s="11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</row>
    <row r="475" ht="12.75" customHeight="1" s="11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  <c r="BL475" s="6" t="n"/>
      <c r="BM475" s="6" t="n"/>
      <c r="BN475" s="6" t="n"/>
      <c r="BO475" s="6" t="n"/>
    </row>
    <row r="476" ht="12.75" customHeight="1" s="11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</row>
    <row r="477" ht="12.75" customHeight="1" s="11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  <c r="BL477" s="6" t="n"/>
      <c r="BM477" s="6" t="n"/>
      <c r="BN477" s="6" t="n"/>
      <c r="BO477" s="6" t="n"/>
    </row>
    <row r="478" ht="12.75" customHeight="1" s="11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  <c r="BL478" s="6" t="n"/>
      <c r="BM478" s="6" t="n"/>
      <c r="BN478" s="6" t="n"/>
      <c r="BO478" s="6" t="n"/>
    </row>
    <row r="479" ht="12.75" customHeight="1" s="11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</row>
    <row r="480" ht="12.75" customHeight="1" s="11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</row>
    <row r="481" ht="12.75" customHeight="1" s="11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  <c r="BL481" s="6" t="n"/>
      <c r="BM481" s="6" t="n"/>
      <c r="BN481" s="6" t="n"/>
      <c r="BO481" s="6" t="n"/>
    </row>
    <row r="482" ht="12.75" customHeight="1" s="11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</row>
    <row r="483" ht="12.75" customHeight="1" s="11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</row>
    <row r="484" ht="12.75" customHeight="1" s="11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</row>
    <row r="485" ht="12.75" customHeight="1" s="11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</row>
    <row r="486" ht="12.75" customHeight="1" s="11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</row>
    <row r="487" ht="12.75" customHeight="1" s="11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</row>
    <row r="488" ht="12.75" customHeight="1" s="11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</row>
    <row r="489" ht="12.75" customHeight="1" s="11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</row>
    <row r="490" ht="12.75" customHeight="1" s="11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</row>
    <row r="491" ht="12.75" customHeight="1" s="11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</row>
    <row r="492" ht="12.75" customHeight="1" s="11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</row>
    <row r="493" ht="12.75" customHeight="1" s="11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</row>
    <row r="494" ht="12.75" customHeight="1" s="11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</row>
    <row r="495" ht="12.75" customHeight="1" s="11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</row>
    <row r="496" ht="12.75" customHeight="1" s="11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  <c r="BL496" s="6" t="n"/>
      <c r="BM496" s="6" t="n"/>
      <c r="BN496" s="6" t="n"/>
      <c r="BO496" s="6" t="n"/>
    </row>
    <row r="497" ht="12.75" customHeight="1" s="11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  <c r="BL497" s="6" t="n"/>
      <c r="BM497" s="6" t="n"/>
      <c r="BN497" s="6" t="n"/>
      <c r="BO497" s="6" t="n"/>
    </row>
    <row r="498" ht="12.75" customHeight="1" s="11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  <c r="BL498" s="6" t="n"/>
      <c r="BM498" s="6" t="n"/>
      <c r="BN498" s="6" t="n"/>
      <c r="BO498" s="6" t="n"/>
    </row>
    <row r="499" ht="12.75" customHeight="1" s="11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  <c r="BL499" s="6" t="n"/>
      <c r="BM499" s="6" t="n"/>
      <c r="BN499" s="6" t="n"/>
      <c r="BO499" s="6" t="n"/>
    </row>
    <row r="500" ht="12.75" customHeight="1" s="11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  <c r="BL500" s="6" t="n"/>
      <c r="BM500" s="6" t="n"/>
      <c r="BN500" s="6" t="n"/>
      <c r="BO500" s="6" t="n"/>
    </row>
    <row r="501" ht="12.75" customHeight="1" s="11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  <c r="BL501" s="6" t="n"/>
      <c r="BM501" s="6" t="n"/>
      <c r="BN501" s="6" t="n"/>
      <c r="BO501" s="6" t="n"/>
    </row>
    <row r="502" ht="12.75" customHeight="1" s="11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  <c r="BL502" s="6" t="n"/>
      <c r="BM502" s="6" t="n"/>
      <c r="BN502" s="6" t="n"/>
      <c r="BO502" s="6" t="n"/>
    </row>
    <row r="503" ht="12.75" customHeight="1" s="11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  <c r="BL503" s="6" t="n"/>
      <c r="BM503" s="6" t="n"/>
      <c r="BN503" s="6" t="n"/>
      <c r="BO503" s="6" t="n"/>
    </row>
    <row r="504" ht="12.75" customHeight="1" s="11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</row>
    <row r="505" ht="12.75" customHeight="1" s="11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  <c r="BL505" s="6" t="n"/>
      <c r="BM505" s="6" t="n"/>
      <c r="BN505" s="6" t="n"/>
      <c r="BO505" s="6" t="n"/>
    </row>
    <row r="506" ht="12.75" customHeight="1" s="11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  <c r="BL506" s="6" t="n"/>
      <c r="BM506" s="6" t="n"/>
      <c r="BN506" s="6" t="n"/>
      <c r="BO506" s="6" t="n"/>
    </row>
    <row r="507" ht="12.75" customHeight="1" s="11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  <c r="BL507" s="6" t="n"/>
      <c r="BM507" s="6" t="n"/>
      <c r="BN507" s="6" t="n"/>
      <c r="BO507" s="6" t="n"/>
    </row>
    <row r="508" ht="12.75" customHeight="1" s="11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  <c r="BL508" s="6" t="n"/>
      <c r="BM508" s="6" t="n"/>
      <c r="BN508" s="6" t="n"/>
      <c r="BO508" s="6" t="n"/>
    </row>
    <row r="509" ht="12.75" customHeight="1" s="11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  <c r="BL509" s="6" t="n"/>
      <c r="BM509" s="6" t="n"/>
      <c r="BN509" s="6" t="n"/>
      <c r="BO509" s="6" t="n"/>
    </row>
    <row r="510" ht="12.75" customHeight="1" s="11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  <c r="BL510" s="6" t="n"/>
      <c r="BM510" s="6" t="n"/>
      <c r="BN510" s="6" t="n"/>
      <c r="BO510" s="6" t="n"/>
    </row>
    <row r="511" ht="12.75" customHeight="1" s="1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  <c r="BL511" s="6" t="n"/>
      <c r="BM511" s="6" t="n"/>
      <c r="BN511" s="6" t="n"/>
      <c r="BO511" s="6" t="n"/>
    </row>
    <row r="512" ht="12.75" customHeight="1" s="11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</row>
    <row r="513" ht="12.75" customHeight="1" s="11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  <c r="BL513" s="6" t="n"/>
      <c r="BM513" s="6" t="n"/>
      <c r="BN513" s="6" t="n"/>
      <c r="BO513" s="6" t="n"/>
    </row>
    <row r="514" ht="12.75" customHeight="1" s="11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  <c r="BL514" s="6" t="n"/>
      <c r="BM514" s="6" t="n"/>
      <c r="BN514" s="6" t="n"/>
      <c r="BO514" s="6" t="n"/>
    </row>
    <row r="515" ht="12.75" customHeight="1" s="11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</row>
    <row r="516" ht="12.75" customHeight="1" s="11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6" t="n"/>
      <c r="BM516" s="6" t="n"/>
      <c r="BN516" s="6" t="n"/>
      <c r="BO516" s="6" t="n"/>
    </row>
    <row r="517" ht="12.75" customHeight="1" s="11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  <c r="BL517" s="6" t="n"/>
      <c r="BM517" s="6" t="n"/>
      <c r="BN517" s="6" t="n"/>
      <c r="BO517" s="6" t="n"/>
    </row>
    <row r="518" ht="12.75" customHeight="1" s="11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  <c r="BL518" s="6" t="n"/>
      <c r="BM518" s="6" t="n"/>
      <c r="BN518" s="6" t="n"/>
      <c r="BO518" s="6" t="n"/>
    </row>
    <row r="519" ht="12.75" customHeight="1" s="11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</row>
    <row r="520" ht="12.75" customHeight="1" s="11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  <c r="BL520" s="6" t="n"/>
      <c r="BM520" s="6" t="n"/>
      <c r="BN520" s="6" t="n"/>
      <c r="BO520" s="6" t="n"/>
    </row>
    <row r="521" ht="12.75" customHeight="1" s="11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  <c r="BL521" s="6" t="n"/>
      <c r="BM521" s="6" t="n"/>
      <c r="BN521" s="6" t="n"/>
      <c r="BO521" s="6" t="n"/>
    </row>
    <row r="522" ht="12.75" customHeight="1" s="11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  <c r="BL522" s="6" t="n"/>
      <c r="BM522" s="6" t="n"/>
      <c r="BN522" s="6" t="n"/>
      <c r="BO522" s="6" t="n"/>
    </row>
    <row r="523" ht="12.75" customHeight="1" s="11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  <c r="BL523" s="6" t="n"/>
      <c r="BM523" s="6" t="n"/>
      <c r="BN523" s="6" t="n"/>
      <c r="BO523" s="6" t="n"/>
    </row>
    <row r="524" ht="12.75" customHeight="1" s="11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  <c r="BL524" s="6" t="n"/>
      <c r="BM524" s="6" t="n"/>
      <c r="BN524" s="6" t="n"/>
      <c r="BO524" s="6" t="n"/>
    </row>
    <row r="525" ht="12.75" customHeight="1" s="11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6" t="n"/>
      <c r="BM525" s="6" t="n"/>
      <c r="BN525" s="6" t="n"/>
      <c r="BO525" s="6" t="n"/>
    </row>
    <row r="526" ht="12.75" customHeight="1" s="11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  <c r="BL526" s="6" t="n"/>
      <c r="BM526" s="6" t="n"/>
      <c r="BN526" s="6" t="n"/>
      <c r="BO526" s="6" t="n"/>
    </row>
    <row r="527" ht="12.75" customHeight="1" s="11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  <c r="BL527" s="6" t="n"/>
      <c r="BM527" s="6" t="n"/>
      <c r="BN527" s="6" t="n"/>
      <c r="BO527" s="6" t="n"/>
    </row>
    <row r="528" ht="12.75" customHeight="1" s="11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</row>
    <row r="529" ht="12.75" customHeight="1" s="11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</row>
    <row r="530" ht="12.75" customHeight="1" s="11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</row>
    <row r="531" ht="12.75" customHeight="1" s="11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</row>
    <row r="532" ht="12.75" customHeight="1" s="11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</row>
    <row r="533" ht="12.75" customHeight="1" s="11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  <c r="BL533" s="6" t="n"/>
      <c r="BM533" s="6" t="n"/>
      <c r="BN533" s="6" t="n"/>
      <c r="BO533" s="6" t="n"/>
    </row>
    <row r="534" ht="12.75" customHeight="1" s="11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  <c r="BL534" s="6" t="n"/>
      <c r="BM534" s="6" t="n"/>
      <c r="BN534" s="6" t="n"/>
      <c r="BO534" s="6" t="n"/>
    </row>
    <row r="535" ht="12.75" customHeight="1" s="11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</row>
    <row r="536" ht="12.75" customHeight="1" s="11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  <c r="BL536" s="6" t="n"/>
      <c r="BM536" s="6" t="n"/>
      <c r="BN536" s="6" t="n"/>
      <c r="BO536" s="6" t="n"/>
    </row>
    <row r="537" ht="12.75" customHeight="1" s="11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  <c r="BL537" s="6" t="n"/>
      <c r="BM537" s="6" t="n"/>
      <c r="BN537" s="6" t="n"/>
      <c r="BO537" s="6" t="n"/>
    </row>
    <row r="538" ht="12.75" customHeight="1" s="11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  <c r="BL538" s="6" t="n"/>
      <c r="BM538" s="6" t="n"/>
      <c r="BN538" s="6" t="n"/>
      <c r="BO538" s="6" t="n"/>
    </row>
    <row r="539" ht="12.75" customHeight="1" s="11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  <c r="BL539" s="6" t="n"/>
      <c r="BM539" s="6" t="n"/>
      <c r="BN539" s="6" t="n"/>
      <c r="BO539" s="6" t="n"/>
    </row>
    <row r="540" ht="12.75" customHeight="1" s="11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  <c r="BL540" s="6" t="n"/>
      <c r="BM540" s="6" t="n"/>
      <c r="BN540" s="6" t="n"/>
      <c r="BO540" s="6" t="n"/>
    </row>
    <row r="541" ht="12.75" customHeight="1" s="11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  <c r="BL541" s="6" t="n"/>
      <c r="BM541" s="6" t="n"/>
      <c r="BN541" s="6" t="n"/>
      <c r="BO541" s="6" t="n"/>
    </row>
    <row r="542" ht="12.75" customHeight="1" s="11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  <c r="BL542" s="6" t="n"/>
      <c r="BM542" s="6" t="n"/>
      <c r="BN542" s="6" t="n"/>
      <c r="BO542" s="6" t="n"/>
    </row>
    <row r="543" ht="12.75" customHeight="1" s="11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  <c r="BL543" s="6" t="n"/>
      <c r="BM543" s="6" t="n"/>
      <c r="BN543" s="6" t="n"/>
      <c r="BO543" s="6" t="n"/>
    </row>
    <row r="544" ht="12.75" customHeight="1" s="11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  <c r="BL544" s="6" t="n"/>
      <c r="BM544" s="6" t="n"/>
      <c r="BN544" s="6" t="n"/>
      <c r="BO544" s="6" t="n"/>
    </row>
    <row r="545" ht="12.75" customHeight="1" s="11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  <c r="BL545" s="6" t="n"/>
      <c r="BM545" s="6" t="n"/>
      <c r="BN545" s="6" t="n"/>
      <c r="BO545" s="6" t="n"/>
    </row>
    <row r="546" ht="12.75" customHeight="1" s="11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  <c r="BL546" s="6" t="n"/>
      <c r="BM546" s="6" t="n"/>
      <c r="BN546" s="6" t="n"/>
      <c r="BO546" s="6" t="n"/>
    </row>
    <row r="547" ht="12.75" customHeight="1" s="11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</row>
    <row r="548" ht="12.75" customHeight="1" s="11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6" t="n"/>
      <c r="BM548" s="6" t="n"/>
      <c r="BN548" s="6" t="n"/>
      <c r="BO548" s="6" t="n"/>
    </row>
    <row r="549" ht="12.75" customHeight="1" s="11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</row>
    <row r="550" ht="12.75" customHeight="1" s="11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6" t="n"/>
      <c r="BM550" s="6" t="n"/>
      <c r="BN550" s="6" t="n"/>
      <c r="BO550" s="6" t="n"/>
    </row>
    <row r="551" ht="12.75" customHeight="1" s="11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  <c r="BL551" s="6" t="n"/>
      <c r="BM551" s="6" t="n"/>
      <c r="BN551" s="6" t="n"/>
      <c r="BO551" s="6" t="n"/>
    </row>
    <row r="552" ht="12.75" customHeight="1" s="11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  <c r="BL552" s="6" t="n"/>
      <c r="BM552" s="6" t="n"/>
      <c r="BN552" s="6" t="n"/>
      <c r="BO552" s="6" t="n"/>
    </row>
    <row r="553" ht="12.75" customHeight="1" s="11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  <c r="BL553" s="6" t="n"/>
      <c r="BM553" s="6" t="n"/>
      <c r="BN553" s="6" t="n"/>
      <c r="BO553" s="6" t="n"/>
    </row>
    <row r="554" ht="12.75" customHeight="1" s="11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6" t="n"/>
      <c r="BM554" s="6" t="n"/>
      <c r="BN554" s="6" t="n"/>
      <c r="BO554" s="6" t="n"/>
    </row>
    <row r="555" ht="12.75" customHeight="1" s="11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6" t="n"/>
      <c r="BM555" s="6" t="n"/>
      <c r="BN555" s="6" t="n"/>
      <c r="BO555" s="6" t="n"/>
    </row>
    <row r="556" ht="12.75" customHeight="1" s="11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6" t="n"/>
      <c r="BM556" s="6" t="n"/>
      <c r="BN556" s="6" t="n"/>
      <c r="BO556" s="6" t="n"/>
    </row>
    <row r="557" ht="12.75" customHeight="1" s="11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6" t="n"/>
      <c r="BM557" s="6" t="n"/>
      <c r="BN557" s="6" t="n"/>
      <c r="BO557" s="6" t="n"/>
    </row>
    <row r="558" ht="12.75" customHeight="1" s="11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6" t="n"/>
      <c r="BM558" s="6" t="n"/>
      <c r="BN558" s="6" t="n"/>
      <c r="BO558" s="6" t="n"/>
    </row>
    <row r="559" ht="12.75" customHeight="1" s="11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  <c r="BL559" s="6" t="n"/>
      <c r="BM559" s="6" t="n"/>
      <c r="BN559" s="6" t="n"/>
      <c r="BO559" s="6" t="n"/>
    </row>
    <row r="560" ht="12.75" customHeight="1" s="11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  <c r="BL560" s="6" t="n"/>
      <c r="BM560" s="6" t="n"/>
      <c r="BN560" s="6" t="n"/>
      <c r="BO560" s="6" t="n"/>
    </row>
    <row r="561" ht="12.75" customHeight="1" s="11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  <c r="BL561" s="6" t="n"/>
      <c r="BM561" s="6" t="n"/>
      <c r="BN561" s="6" t="n"/>
      <c r="BO561" s="6" t="n"/>
    </row>
    <row r="562" ht="12.75" customHeight="1" s="11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  <c r="BL562" s="6" t="n"/>
      <c r="BM562" s="6" t="n"/>
      <c r="BN562" s="6" t="n"/>
      <c r="BO562" s="6" t="n"/>
    </row>
    <row r="563" ht="12.75" customHeight="1" s="11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/>
      <c r="BM563" s="6" t="n"/>
      <c r="BN563" s="6" t="n"/>
      <c r="BO563" s="6" t="n"/>
    </row>
    <row r="564" ht="12.75" customHeight="1" s="11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6" t="n"/>
      <c r="BM564" s="6" t="n"/>
      <c r="BN564" s="6" t="n"/>
      <c r="BO564" s="6" t="n"/>
    </row>
    <row r="565" ht="12.75" customHeight="1" s="11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  <c r="BL565" s="6" t="n"/>
      <c r="BM565" s="6" t="n"/>
      <c r="BN565" s="6" t="n"/>
      <c r="BO565" s="6" t="n"/>
    </row>
    <row r="566" ht="12.75" customHeight="1" s="11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  <c r="BL566" s="6" t="n"/>
      <c r="BM566" s="6" t="n"/>
      <c r="BN566" s="6" t="n"/>
      <c r="BO566" s="6" t="n"/>
    </row>
    <row r="567" ht="12.75" customHeight="1" s="11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6" t="n"/>
      <c r="BM567" s="6" t="n"/>
      <c r="BN567" s="6" t="n"/>
      <c r="BO567" s="6" t="n"/>
    </row>
    <row r="568" ht="12.75" customHeight="1" s="11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</row>
    <row r="569" ht="12.75" customHeight="1" s="11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6" t="n"/>
      <c r="BM569" s="6" t="n"/>
      <c r="BN569" s="6" t="n"/>
      <c r="BO569" s="6" t="n"/>
    </row>
    <row r="570" ht="12.75" customHeight="1" s="11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6" t="n"/>
      <c r="BM570" s="6" t="n"/>
      <c r="BN570" s="6" t="n"/>
      <c r="BO570" s="6" t="n"/>
    </row>
    <row r="571" ht="12.75" customHeight="1" s="11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</row>
    <row r="572" ht="12.75" customHeight="1" s="11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  <c r="BL572" s="6" t="n"/>
      <c r="BM572" s="6" t="n"/>
      <c r="BN572" s="6" t="n"/>
      <c r="BO572" s="6" t="n"/>
    </row>
    <row r="573" ht="12.75" customHeight="1" s="11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  <c r="BL573" s="6" t="n"/>
      <c r="BM573" s="6" t="n"/>
      <c r="BN573" s="6" t="n"/>
      <c r="BO573" s="6" t="n"/>
    </row>
    <row r="574" ht="12.75" customHeight="1" s="11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  <c r="BL574" s="6" t="n"/>
      <c r="BM574" s="6" t="n"/>
      <c r="BN574" s="6" t="n"/>
      <c r="BO574" s="6" t="n"/>
    </row>
    <row r="575" ht="12.75" customHeight="1" s="11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6" t="n"/>
      <c r="BM575" s="6" t="n"/>
      <c r="BN575" s="6" t="n"/>
      <c r="BO575" s="6" t="n"/>
    </row>
    <row r="576" ht="12.75" customHeight="1" s="11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  <c r="BL576" s="6" t="n"/>
      <c r="BM576" s="6" t="n"/>
      <c r="BN576" s="6" t="n"/>
      <c r="BO576" s="6" t="n"/>
    </row>
    <row r="577" ht="12.75" customHeight="1" s="11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6" t="n"/>
      <c r="BM577" s="6" t="n"/>
      <c r="BN577" s="6" t="n"/>
      <c r="BO577" s="6" t="n"/>
    </row>
    <row r="578" ht="12.75" customHeight="1" s="11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  <c r="BL578" s="6" t="n"/>
      <c r="BM578" s="6" t="n"/>
      <c r="BN578" s="6" t="n"/>
      <c r="BO578" s="6" t="n"/>
    </row>
    <row r="579" ht="12.75" customHeight="1" s="11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  <c r="BL579" s="6" t="n"/>
      <c r="BM579" s="6" t="n"/>
      <c r="BN579" s="6" t="n"/>
      <c r="BO579" s="6" t="n"/>
    </row>
    <row r="580" ht="12.75" customHeight="1" s="11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  <c r="BL580" s="6" t="n"/>
      <c r="BM580" s="6" t="n"/>
      <c r="BN580" s="6" t="n"/>
      <c r="BO580" s="6" t="n"/>
    </row>
    <row r="581" ht="12.75" customHeight="1" s="11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6" t="n"/>
      <c r="BM581" s="6" t="n"/>
      <c r="BN581" s="6" t="n"/>
      <c r="BO581" s="6" t="n"/>
    </row>
    <row r="582" ht="12.75" customHeight="1" s="11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  <c r="BL582" s="6" t="n"/>
      <c r="BM582" s="6" t="n"/>
      <c r="BN582" s="6" t="n"/>
      <c r="BO582" s="6" t="n"/>
    </row>
    <row r="583" ht="12.75" customHeight="1" s="11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  <c r="BL583" s="6" t="n"/>
      <c r="BM583" s="6" t="n"/>
      <c r="BN583" s="6" t="n"/>
      <c r="BO583" s="6" t="n"/>
    </row>
    <row r="584" ht="12.75" customHeight="1" s="11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  <c r="BL584" s="6" t="n"/>
      <c r="BM584" s="6" t="n"/>
      <c r="BN584" s="6" t="n"/>
      <c r="BO584" s="6" t="n"/>
    </row>
    <row r="585" ht="12.75" customHeight="1" s="11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  <c r="BL585" s="6" t="n"/>
      <c r="BM585" s="6" t="n"/>
      <c r="BN585" s="6" t="n"/>
      <c r="BO585" s="6" t="n"/>
    </row>
    <row r="586" ht="12.75" customHeight="1" s="11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  <c r="BL586" s="6" t="n"/>
      <c r="BM586" s="6" t="n"/>
      <c r="BN586" s="6" t="n"/>
      <c r="BO586" s="6" t="n"/>
    </row>
    <row r="587" ht="12.75" customHeight="1" s="11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  <c r="BL587" s="6" t="n"/>
      <c r="BM587" s="6" t="n"/>
      <c r="BN587" s="6" t="n"/>
      <c r="BO587" s="6" t="n"/>
    </row>
    <row r="588" ht="12.75" customHeight="1" s="11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  <c r="BL588" s="6" t="n"/>
      <c r="BM588" s="6" t="n"/>
      <c r="BN588" s="6" t="n"/>
      <c r="BO588" s="6" t="n"/>
    </row>
    <row r="589" ht="12.75" customHeight="1" s="11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6" t="n"/>
      <c r="BM589" s="6" t="n"/>
      <c r="BN589" s="6" t="n"/>
      <c r="BO589" s="6" t="n"/>
    </row>
    <row r="590" ht="12.75" customHeight="1" s="11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6" t="n"/>
      <c r="BM590" s="6" t="n"/>
      <c r="BN590" s="6" t="n"/>
      <c r="BO590" s="6" t="n"/>
    </row>
    <row r="591" ht="12.75" customHeight="1" s="11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  <c r="BL591" s="6" t="n"/>
      <c r="BM591" s="6" t="n"/>
      <c r="BN591" s="6" t="n"/>
      <c r="BO591" s="6" t="n"/>
    </row>
    <row r="592" ht="12.75" customHeight="1" s="11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  <c r="BL592" s="6" t="n"/>
      <c r="BM592" s="6" t="n"/>
      <c r="BN592" s="6" t="n"/>
      <c r="BO592" s="6" t="n"/>
    </row>
    <row r="593" ht="12.75" customHeight="1" s="11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  <c r="BL593" s="6" t="n"/>
      <c r="BM593" s="6" t="n"/>
      <c r="BN593" s="6" t="n"/>
      <c r="BO593" s="6" t="n"/>
    </row>
    <row r="594" ht="12.75" customHeight="1" s="11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  <c r="BL594" s="6" t="n"/>
      <c r="BM594" s="6" t="n"/>
      <c r="BN594" s="6" t="n"/>
      <c r="BO594" s="6" t="n"/>
    </row>
    <row r="595" ht="12.75" customHeight="1" s="11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  <c r="BL595" s="6" t="n"/>
      <c r="BM595" s="6" t="n"/>
      <c r="BN595" s="6" t="n"/>
      <c r="BO595" s="6" t="n"/>
    </row>
    <row r="596" ht="12.75" customHeight="1" s="11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  <c r="BL596" s="6" t="n"/>
      <c r="BM596" s="6" t="n"/>
      <c r="BN596" s="6" t="n"/>
      <c r="BO596" s="6" t="n"/>
    </row>
    <row r="597" ht="12.75" customHeight="1" s="11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  <c r="BL597" s="6" t="n"/>
      <c r="BM597" s="6" t="n"/>
      <c r="BN597" s="6" t="n"/>
      <c r="BO597" s="6" t="n"/>
    </row>
    <row r="598" ht="12.75" customHeight="1" s="11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  <c r="BL598" s="6" t="n"/>
      <c r="BM598" s="6" t="n"/>
      <c r="BN598" s="6" t="n"/>
      <c r="BO598" s="6" t="n"/>
    </row>
    <row r="599" ht="12.75" customHeight="1" s="11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  <c r="BL599" s="6" t="n"/>
      <c r="BM599" s="6" t="n"/>
      <c r="BN599" s="6" t="n"/>
      <c r="BO599" s="6" t="n"/>
    </row>
    <row r="600" ht="12.75" customHeight="1" s="11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  <c r="BL600" s="6" t="n"/>
      <c r="BM600" s="6" t="n"/>
      <c r="BN600" s="6" t="n"/>
      <c r="BO600" s="6" t="n"/>
    </row>
    <row r="601" ht="12.75" customHeight="1" s="11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  <c r="BL601" s="6" t="n"/>
      <c r="BM601" s="6" t="n"/>
      <c r="BN601" s="6" t="n"/>
      <c r="BO601" s="6" t="n"/>
    </row>
    <row r="602" ht="12.75" customHeight="1" s="11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/>
      <c r="BM602" s="6" t="n"/>
      <c r="BN602" s="6" t="n"/>
      <c r="BO602" s="6" t="n"/>
    </row>
    <row r="603" ht="12.75" customHeight="1" s="11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</row>
    <row r="604" ht="12.75" customHeight="1" s="11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  <c r="BL604" s="6" t="n"/>
      <c r="BM604" s="6" t="n"/>
      <c r="BN604" s="6" t="n"/>
      <c r="BO604" s="6" t="n"/>
    </row>
    <row r="605" ht="12.75" customHeight="1" s="11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6" t="n"/>
      <c r="BM605" s="6" t="n"/>
      <c r="BN605" s="6" t="n"/>
      <c r="BO605" s="6" t="n"/>
    </row>
    <row r="606" ht="12.75" customHeight="1" s="11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  <c r="BL606" s="6" t="n"/>
      <c r="BM606" s="6" t="n"/>
      <c r="BN606" s="6" t="n"/>
      <c r="BO606" s="6" t="n"/>
    </row>
    <row r="607" ht="12.75" customHeight="1" s="11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  <c r="BL607" s="6" t="n"/>
      <c r="BM607" s="6" t="n"/>
      <c r="BN607" s="6" t="n"/>
      <c r="BO607" s="6" t="n"/>
    </row>
    <row r="608" ht="12.75" customHeight="1" s="11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  <c r="BL608" s="6" t="n"/>
      <c r="BM608" s="6" t="n"/>
      <c r="BN608" s="6" t="n"/>
      <c r="BO608" s="6" t="n"/>
    </row>
    <row r="609" ht="12.75" customHeight="1" s="11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6" t="n"/>
      <c r="BM609" s="6" t="n"/>
      <c r="BN609" s="6" t="n"/>
      <c r="BO609" s="6" t="n"/>
    </row>
    <row r="610" ht="12.75" customHeight="1" s="11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  <c r="BL610" s="6" t="n"/>
      <c r="BM610" s="6" t="n"/>
      <c r="BN610" s="6" t="n"/>
      <c r="BO610" s="6" t="n"/>
    </row>
    <row r="611" ht="12.75" customHeight="1" s="1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6" t="n"/>
      <c r="BM611" s="6" t="n"/>
      <c r="BN611" s="6" t="n"/>
      <c r="BO611" s="6" t="n"/>
    </row>
    <row r="612" ht="12.75" customHeight="1" s="11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  <c r="BL612" s="6" t="n"/>
      <c r="BM612" s="6" t="n"/>
      <c r="BN612" s="6" t="n"/>
      <c r="BO612" s="6" t="n"/>
    </row>
    <row r="613" ht="12.75" customHeight="1" s="11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6" t="n"/>
      <c r="BM613" s="6" t="n"/>
      <c r="BN613" s="6" t="n"/>
      <c r="BO613" s="6" t="n"/>
    </row>
    <row r="614" ht="12.75" customHeight="1" s="11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  <c r="BL614" s="6" t="n"/>
      <c r="BM614" s="6" t="n"/>
      <c r="BN614" s="6" t="n"/>
      <c r="BO614" s="6" t="n"/>
    </row>
    <row r="615" ht="12.75" customHeight="1" s="11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  <c r="BL615" s="6" t="n"/>
      <c r="BM615" s="6" t="n"/>
      <c r="BN615" s="6" t="n"/>
      <c r="BO615" s="6" t="n"/>
    </row>
    <row r="616" ht="12.75" customHeight="1" s="11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6" t="n"/>
      <c r="BM616" s="6" t="n"/>
      <c r="BN616" s="6" t="n"/>
      <c r="BO616" s="6" t="n"/>
    </row>
    <row r="617" ht="12.75" customHeight="1" s="11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  <c r="BL617" s="6" t="n"/>
      <c r="BM617" s="6" t="n"/>
      <c r="BN617" s="6" t="n"/>
      <c r="BO617" s="6" t="n"/>
    </row>
    <row r="618" ht="12.75" customHeight="1" s="11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  <c r="BL618" s="6" t="n"/>
      <c r="BM618" s="6" t="n"/>
      <c r="BN618" s="6" t="n"/>
      <c r="BO618" s="6" t="n"/>
    </row>
    <row r="619" ht="12.75" customHeight="1" s="11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  <c r="BL619" s="6" t="n"/>
      <c r="BM619" s="6" t="n"/>
      <c r="BN619" s="6" t="n"/>
      <c r="BO619" s="6" t="n"/>
    </row>
    <row r="620" ht="12.75" customHeight="1" s="11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  <c r="BL620" s="6" t="n"/>
      <c r="BM620" s="6" t="n"/>
      <c r="BN620" s="6" t="n"/>
      <c r="BO620" s="6" t="n"/>
    </row>
    <row r="621" ht="12.75" customHeight="1" s="11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  <c r="BL621" s="6" t="n"/>
      <c r="BM621" s="6" t="n"/>
      <c r="BN621" s="6" t="n"/>
      <c r="BO621" s="6" t="n"/>
    </row>
    <row r="622" ht="12.75" customHeight="1" s="11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  <c r="BL622" s="6" t="n"/>
      <c r="BM622" s="6" t="n"/>
      <c r="BN622" s="6" t="n"/>
      <c r="BO622" s="6" t="n"/>
    </row>
    <row r="623" ht="12.75" customHeight="1" s="11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  <c r="BL623" s="6" t="n"/>
      <c r="BM623" s="6" t="n"/>
      <c r="BN623" s="6" t="n"/>
      <c r="BO623" s="6" t="n"/>
    </row>
    <row r="624" ht="12.75" customHeight="1" s="11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  <c r="BL624" s="6" t="n"/>
      <c r="BM624" s="6" t="n"/>
      <c r="BN624" s="6" t="n"/>
      <c r="BO624" s="6" t="n"/>
    </row>
    <row r="625" ht="12.75" customHeight="1" s="11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  <c r="BL625" s="6" t="n"/>
      <c r="BM625" s="6" t="n"/>
      <c r="BN625" s="6" t="n"/>
      <c r="BO625" s="6" t="n"/>
    </row>
    <row r="626" ht="12.75" customHeight="1" s="11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  <c r="BL626" s="6" t="n"/>
      <c r="BM626" s="6" t="n"/>
      <c r="BN626" s="6" t="n"/>
      <c r="BO626" s="6" t="n"/>
    </row>
    <row r="627" ht="12.75" customHeight="1" s="11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6" t="n"/>
      <c r="BM627" s="6" t="n"/>
      <c r="BN627" s="6" t="n"/>
      <c r="BO627" s="6" t="n"/>
    </row>
    <row r="628" ht="12.75" customHeight="1" s="11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  <c r="BL628" s="6" t="n"/>
      <c r="BM628" s="6" t="n"/>
      <c r="BN628" s="6" t="n"/>
      <c r="BO628" s="6" t="n"/>
    </row>
    <row r="629" ht="12.75" customHeight="1" s="11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  <c r="BL629" s="6" t="n"/>
      <c r="BM629" s="6" t="n"/>
      <c r="BN629" s="6" t="n"/>
      <c r="BO629" s="6" t="n"/>
    </row>
    <row r="630" ht="12.75" customHeight="1" s="11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6" t="n"/>
      <c r="BM630" s="6" t="n"/>
      <c r="BN630" s="6" t="n"/>
      <c r="BO630" s="6" t="n"/>
    </row>
    <row r="631" ht="12.75" customHeight="1" s="11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  <c r="BL631" s="6" t="n"/>
      <c r="BM631" s="6" t="n"/>
      <c r="BN631" s="6" t="n"/>
      <c r="BO631" s="6" t="n"/>
    </row>
    <row r="632" ht="12.75" customHeight="1" s="11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  <c r="BL632" s="6" t="n"/>
      <c r="BM632" s="6" t="n"/>
      <c r="BN632" s="6" t="n"/>
      <c r="BO632" s="6" t="n"/>
    </row>
    <row r="633" ht="12.75" customHeight="1" s="11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  <c r="BL633" s="6" t="n"/>
      <c r="BM633" s="6" t="n"/>
      <c r="BN633" s="6" t="n"/>
      <c r="BO633" s="6" t="n"/>
    </row>
    <row r="634" ht="12.75" customHeight="1" s="11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  <c r="BL634" s="6" t="n"/>
      <c r="BM634" s="6" t="n"/>
      <c r="BN634" s="6" t="n"/>
      <c r="BO634" s="6" t="n"/>
    </row>
    <row r="635" ht="12.75" customHeight="1" s="11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  <c r="BL635" s="6" t="n"/>
      <c r="BM635" s="6" t="n"/>
      <c r="BN635" s="6" t="n"/>
      <c r="BO635" s="6" t="n"/>
    </row>
    <row r="636" ht="12.75" customHeight="1" s="11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  <c r="BL636" s="6" t="n"/>
      <c r="BM636" s="6" t="n"/>
      <c r="BN636" s="6" t="n"/>
      <c r="BO636" s="6" t="n"/>
    </row>
    <row r="637" ht="12.75" customHeight="1" s="11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  <c r="BL637" s="6" t="n"/>
      <c r="BM637" s="6" t="n"/>
      <c r="BN637" s="6" t="n"/>
      <c r="BO637" s="6" t="n"/>
    </row>
    <row r="638" ht="12.75" customHeight="1" s="11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  <c r="BL638" s="6" t="n"/>
      <c r="BM638" s="6" t="n"/>
      <c r="BN638" s="6" t="n"/>
      <c r="BO638" s="6" t="n"/>
    </row>
    <row r="639" ht="12.75" customHeight="1" s="11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  <c r="BL639" s="6" t="n"/>
      <c r="BM639" s="6" t="n"/>
      <c r="BN639" s="6" t="n"/>
      <c r="BO639" s="6" t="n"/>
    </row>
    <row r="640" ht="12.75" customHeight="1" s="11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  <c r="BL640" s="6" t="n"/>
      <c r="BM640" s="6" t="n"/>
      <c r="BN640" s="6" t="n"/>
      <c r="BO640" s="6" t="n"/>
    </row>
    <row r="641" ht="12.75" customHeight="1" s="11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  <c r="BL641" s="6" t="n"/>
      <c r="BM641" s="6" t="n"/>
      <c r="BN641" s="6" t="n"/>
      <c r="BO641" s="6" t="n"/>
    </row>
    <row r="642" ht="12.75" customHeight="1" s="11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  <c r="BL642" s="6" t="n"/>
      <c r="BM642" s="6" t="n"/>
      <c r="BN642" s="6" t="n"/>
      <c r="BO642" s="6" t="n"/>
    </row>
    <row r="643" ht="12.75" customHeight="1" s="11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  <c r="BL643" s="6" t="n"/>
      <c r="BM643" s="6" t="n"/>
      <c r="BN643" s="6" t="n"/>
      <c r="BO643" s="6" t="n"/>
    </row>
    <row r="644" ht="12.75" customHeight="1" s="11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  <c r="BL644" s="6" t="n"/>
      <c r="BM644" s="6" t="n"/>
      <c r="BN644" s="6" t="n"/>
      <c r="BO644" s="6" t="n"/>
    </row>
    <row r="645" ht="12.75" customHeight="1" s="11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  <c r="BL645" s="6" t="n"/>
      <c r="BM645" s="6" t="n"/>
      <c r="BN645" s="6" t="n"/>
      <c r="BO645" s="6" t="n"/>
    </row>
    <row r="646" ht="12.75" customHeight="1" s="11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  <c r="BL646" s="6" t="n"/>
      <c r="BM646" s="6" t="n"/>
      <c r="BN646" s="6" t="n"/>
      <c r="BO646" s="6" t="n"/>
    </row>
    <row r="647" ht="12.75" customHeight="1" s="11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  <c r="BL647" s="6" t="n"/>
      <c r="BM647" s="6" t="n"/>
      <c r="BN647" s="6" t="n"/>
      <c r="BO647" s="6" t="n"/>
    </row>
    <row r="648" ht="12.75" customHeight="1" s="11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  <c r="BL648" s="6" t="n"/>
      <c r="BM648" s="6" t="n"/>
      <c r="BN648" s="6" t="n"/>
      <c r="BO648" s="6" t="n"/>
    </row>
    <row r="649" ht="12.75" customHeight="1" s="11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  <c r="BL649" s="6" t="n"/>
      <c r="BM649" s="6" t="n"/>
      <c r="BN649" s="6" t="n"/>
      <c r="BO649" s="6" t="n"/>
    </row>
    <row r="650" ht="12.75" customHeight="1" s="11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  <c r="BL650" s="6" t="n"/>
      <c r="BM650" s="6" t="n"/>
      <c r="BN650" s="6" t="n"/>
      <c r="BO650" s="6" t="n"/>
    </row>
    <row r="651" ht="12.75" customHeight="1" s="11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  <c r="BL651" s="6" t="n"/>
      <c r="BM651" s="6" t="n"/>
      <c r="BN651" s="6" t="n"/>
      <c r="BO651" s="6" t="n"/>
    </row>
    <row r="652" ht="12.75" customHeight="1" s="11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  <c r="BL652" s="6" t="n"/>
      <c r="BM652" s="6" t="n"/>
      <c r="BN652" s="6" t="n"/>
      <c r="BO652" s="6" t="n"/>
    </row>
    <row r="653" ht="12.75" customHeight="1" s="11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  <c r="BL653" s="6" t="n"/>
      <c r="BM653" s="6" t="n"/>
      <c r="BN653" s="6" t="n"/>
      <c r="BO653" s="6" t="n"/>
    </row>
    <row r="654" ht="12.75" customHeight="1" s="11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  <c r="BL654" s="6" t="n"/>
      <c r="BM654" s="6" t="n"/>
      <c r="BN654" s="6" t="n"/>
      <c r="BO654" s="6" t="n"/>
    </row>
    <row r="655" ht="12.75" customHeight="1" s="11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  <c r="BL655" s="6" t="n"/>
      <c r="BM655" s="6" t="n"/>
      <c r="BN655" s="6" t="n"/>
      <c r="BO655" s="6" t="n"/>
    </row>
    <row r="656" ht="12.75" customHeight="1" s="11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  <c r="BL656" s="6" t="n"/>
      <c r="BM656" s="6" t="n"/>
      <c r="BN656" s="6" t="n"/>
      <c r="BO656" s="6" t="n"/>
    </row>
    <row r="657" ht="12.75" customHeight="1" s="11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  <c r="BL657" s="6" t="n"/>
      <c r="BM657" s="6" t="n"/>
      <c r="BN657" s="6" t="n"/>
      <c r="BO657" s="6" t="n"/>
    </row>
    <row r="658" ht="12.75" customHeight="1" s="11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  <c r="BL658" s="6" t="n"/>
      <c r="BM658" s="6" t="n"/>
      <c r="BN658" s="6" t="n"/>
      <c r="BO658" s="6" t="n"/>
    </row>
    <row r="659" ht="12.75" customHeight="1" s="11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  <c r="BL659" s="6" t="n"/>
      <c r="BM659" s="6" t="n"/>
      <c r="BN659" s="6" t="n"/>
      <c r="BO659" s="6" t="n"/>
    </row>
    <row r="660" ht="12.75" customHeight="1" s="11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  <c r="BL660" s="6" t="n"/>
      <c r="BM660" s="6" t="n"/>
      <c r="BN660" s="6" t="n"/>
      <c r="BO660" s="6" t="n"/>
    </row>
    <row r="661" ht="12.75" customHeight="1" s="11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  <c r="BL661" s="6" t="n"/>
      <c r="BM661" s="6" t="n"/>
      <c r="BN661" s="6" t="n"/>
      <c r="BO661" s="6" t="n"/>
    </row>
    <row r="662" ht="12.75" customHeight="1" s="11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  <c r="BL662" s="6" t="n"/>
      <c r="BM662" s="6" t="n"/>
      <c r="BN662" s="6" t="n"/>
      <c r="BO662" s="6" t="n"/>
    </row>
    <row r="663" ht="12.75" customHeight="1" s="11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  <c r="BL663" s="6" t="n"/>
      <c r="BM663" s="6" t="n"/>
      <c r="BN663" s="6" t="n"/>
      <c r="BO663" s="6" t="n"/>
    </row>
    <row r="664" ht="12.75" customHeight="1" s="11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  <c r="BL664" s="6" t="n"/>
      <c r="BM664" s="6" t="n"/>
      <c r="BN664" s="6" t="n"/>
      <c r="BO664" s="6" t="n"/>
    </row>
    <row r="665" ht="12.75" customHeight="1" s="11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  <c r="BL665" s="6" t="n"/>
      <c r="BM665" s="6" t="n"/>
      <c r="BN665" s="6" t="n"/>
      <c r="BO665" s="6" t="n"/>
    </row>
    <row r="666" ht="12.75" customHeight="1" s="11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  <c r="BL666" s="6" t="n"/>
      <c r="BM666" s="6" t="n"/>
      <c r="BN666" s="6" t="n"/>
      <c r="BO666" s="6" t="n"/>
    </row>
    <row r="667" ht="12.75" customHeight="1" s="11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  <c r="BL667" s="6" t="n"/>
      <c r="BM667" s="6" t="n"/>
      <c r="BN667" s="6" t="n"/>
      <c r="BO667" s="6" t="n"/>
    </row>
    <row r="668" ht="12.75" customHeight="1" s="11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  <c r="BL668" s="6" t="n"/>
      <c r="BM668" s="6" t="n"/>
      <c r="BN668" s="6" t="n"/>
      <c r="BO668" s="6" t="n"/>
    </row>
    <row r="669" ht="12.75" customHeight="1" s="11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  <c r="BL669" s="6" t="n"/>
      <c r="BM669" s="6" t="n"/>
      <c r="BN669" s="6" t="n"/>
      <c r="BO669" s="6" t="n"/>
    </row>
    <row r="670" ht="12.75" customHeight="1" s="11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  <c r="BL670" s="6" t="n"/>
      <c r="BM670" s="6" t="n"/>
      <c r="BN670" s="6" t="n"/>
      <c r="BO670" s="6" t="n"/>
    </row>
    <row r="671" ht="12.75" customHeight="1" s="11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  <c r="BL671" s="6" t="n"/>
      <c r="BM671" s="6" t="n"/>
      <c r="BN671" s="6" t="n"/>
      <c r="BO671" s="6" t="n"/>
    </row>
    <row r="672" ht="12.75" customHeight="1" s="11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  <c r="BL672" s="6" t="n"/>
      <c r="BM672" s="6" t="n"/>
      <c r="BN672" s="6" t="n"/>
      <c r="BO672" s="6" t="n"/>
    </row>
    <row r="673" ht="12.75" customHeight="1" s="11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  <c r="BL673" s="6" t="n"/>
      <c r="BM673" s="6" t="n"/>
      <c r="BN673" s="6" t="n"/>
      <c r="BO673" s="6" t="n"/>
    </row>
    <row r="674" ht="12.75" customHeight="1" s="11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  <c r="BL674" s="6" t="n"/>
      <c r="BM674" s="6" t="n"/>
      <c r="BN674" s="6" t="n"/>
      <c r="BO674" s="6" t="n"/>
    </row>
    <row r="675" ht="12.75" customHeight="1" s="11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  <c r="BL675" s="6" t="n"/>
      <c r="BM675" s="6" t="n"/>
      <c r="BN675" s="6" t="n"/>
      <c r="BO675" s="6" t="n"/>
    </row>
    <row r="676" ht="12.75" customHeight="1" s="11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  <c r="BL676" s="6" t="n"/>
      <c r="BM676" s="6" t="n"/>
      <c r="BN676" s="6" t="n"/>
      <c r="BO676" s="6" t="n"/>
    </row>
    <row r="677" ht="12.75" customHeight="1" s="11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  <c r="BL677" s="6" t="n"/>
      <c r="BM677" s="6" t="n"/>
      <c r="BN677" s="6" t="n"/>
      <c r="BO677" s="6" t="n"/>
    </row>
    <row r="678" ht="12.75" customHeight="1" s="11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  <c r="BL678" s="6" t="n"/>
      <c r="BM678" s="6" t="n"/>
      <c r="BN678" s="6" t="n"/>
      <c r="BO678" s="6" t="n"/>
    </row>
    <row r="679" ht="12.75" customHeight="1" s="11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  <c r="BL679" s="6" t="n"/>
      <c r="BM679" s="6" t="n"/>
      <c r="BN679" s="6" t="n"/>
      <c r="BO679" s="6" t="n"/>
    </row>
    <row r="680" ht="12.75" customHeight="1" s="11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  <c r="BL680" s="6" t="n"/>
      <c r="BM680" s="6" t="n"/>
      <c r="BN680" s="6" t="n"/>
      <c r="BO680" s="6" t="n"/>
    </row>
    <row r="681" ht="12.75" customHeight="1" s="11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  <c r="BL681" s="6" t="n"/>
      <c r="BM681" s="6" t="n"/>
      <c r="BN681" s="6" t="n"/>
      <c r="BO681" s="6" t="n"/>
    </row>
    <row r="682" ht="12.75" customHeight="1" s="11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  <c r="BL682" s="6" t="n"/>
      <c r="BM682" s="6" t="n"/>
      <c r="BN682" s="6" t="n"/>
      <c r="BO682" s="6" t="n"/>
    </row>
    <row r="683" ht="12.75" customHeight="1" s="11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  <c r="BL683" s="6" t="n"/>
      <c r="BM683" s="6" t="n"/>
      <c r="BN683" s="6" t="n"/>
      <c r="BO683" s="6" t="n"/>
    </row>
    <row r="684" ht="12.75" customHeight="1" s="11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  <c r="BL684" s="6" t="n"/>
      <c r="BM684" s="6" t="n"/>
      <c r="BN684" s="6" t="n"/>
      <c r="BO684" s="6" t="n"/>
    </row>
    <row r="685" ht="12.75" customHeight="1" s="11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  <c r="BL685" s="6" t="n"/>
      <c r="BM685" s="6" t="n"/>
      <c r="BN685" s="6" t="n"/>
      <c r="BO685" s="6" t="n"/>
    </row>
    <row r="686" ht="12.75" customHeight="1" s="11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  <c r="BL686" s="6" t="n"/>
      <c r="BM686" s="6" t="n"/>
      <c r="BN686" s="6" t="n"/>
      <c r="BO686" s="6" t="n"/>
    </row>
    <row r="687" ht="12.75" customHeight="1" s="11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  <c r="BL687" s="6" t="n"/>
      <c r="BM687" s="6" t="n"/>
      <c r="BN687" s="6" t="n"/>
      <c r="BO687" s="6" t="n"/>
    </row>
    <row r="688" ht="12.75" customHeight="1" s="11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  <c r="BL688" s="6" t="n"/>
      <c r="BM688" s="6" t="n"/>
      <c r="BN688" s="6" t="n"/>
      <c r="BO688" s="6" t="n"/>
    </row>
    <row r="689" ht="12.75" customHeight="1" s="11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  <c r="BL689" s="6" t="n"/>
      <c r="BM689" s="6" t="n"/>
      <c r="BN689" s="6" t="n"/>
      <c r="BO689" s="6" t="n"/>
    </row>
    <row r="690" ht="12.75" customHeight="1" s="11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  <c r="BL690" s="6" t="n"/>
      <c r="BM690" s="6" t="n"/>
      <c r="BN690" s="6" t="n"/>
      <c r="BO690" s="6" t="n"/>
    </row>
    <row r="691" ht="12.75" customHeight="1" s="11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  <c r="BL691" s="6" t="n"/>
      <c r="BM691" s="6" t="n"/>
      <c r="BN691" s="6" t="n"/>
      <c r="BO691" s="6" t="n"/>
    </row>
    <row r="692" ht="12.75" customHeight="1" s="11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  <c r="BL692" s="6" t="n"/>
      <c r="BM692" s="6" t="n"/>
      <c r="BN692" s="6" t="n"/>
      <c r="BO692" s="6" t="n"/>
    </row>
    <row r="693" ht="12.75" customHeight="1" s="11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  <c r="BL693" s="6" t="n"/>
      <c r="BM693" s="6" t="n"/>
      <c r="BN693" s="6" t="n"/>
      <c r="BO693" s="6" t="n"/>
    </row>
    <row r="694" ht="12.75" customHeight="1" s="11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  <c r="BL694" s="6" t="n"/>
      <c r="BM694" s="6" t="n"/>
      <c r="BN694" s="6" t="n"/>
      <c r="BO694" s="6" t="n"/>
    </row>
    <row r="695" ht="12.75" customHeight="1" s="11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  <c r="BL695" s="6" t="n"/>
      <c r="BM695" s="6" t="n"/>
      <c r="BN695" s="6" t="n"/>
      <c r="BO695" s="6" t="n"/>
    </row>
    <row r="696" ht="12.75" customHeight="1" s="11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  <c r="BL696" s="6" t="n"/>
      <c r="BM696" s="6" t="n"/>
      <c r="BN696" s="6" t="n"/>
      <c r="BO696" s="6" t="n"/>
    </row>
    <row r="697" ht="12.75" customHeight="1" s="11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  <c r="BL697" s="6" t="n"/>
      <c r="BM697" s="6" t="n"/>
      <c r="BN697" s="6" t="n"/>
      <c r="BO697" s="6" t="n"/>
    </row>
    <row r="698" ht="12.75" customHeight="1" s="11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  <c r="BL698" s="6" t="n"/>
      <c r="BM698" s="6" t="n"/>
      <c r="BN698" s="6" t="n"/>
      <c r="BO698" s="6" t="n"/>
    </row>
    <row r="699" ht="12.75" customHeight="1" s="11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  <c r="BL699" s="6" t="n"/>
      <c r="BM699" s="6" t="n"/>
      <c r="BN699" s="6" t="n"/>
      <c r="BO699" s="6" t="n"/>
    </row>
    <row r="700" ht="12.75" customHeight="1" s="11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  <c r="BL700" s="6" t="n"/>
      <c r="BM700" s="6" t="n"/>
      <c r="BN700" s="6" t="n"/>
      <c r="BO700" s="6" t="n"/>
    </row>
    <row r="701" ht="12.75" customHeight="1" s="11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  <c r="BL701" s="6" t="n"/>
      <c r="BM701" s="6" t="n"/>
      <c r="BN701" s="6" t="n"/>
      <c r="BO701" s="6" t="n"/>
    </row>
    <row r="702" ht="12.75" customHeight="1" s="11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  <c r="BL702" s="6" t="n"/>
      <c r="BM702" s="6" t="n"/>
      <c r="BN702" s="6" t="n"/>
      <c r="BO702" s="6" t="n"/>
    </row>
    <row r="703" ht="12.75" customHeight="1" s="11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  <c r="BL703" s="6" t="n"/>
      <c r="BM703" s="6" t="n"/>
      <c r="BN703" s="6" t="n"/>
      <c r="BO703" s="6" t="n"/>
    </row>
    <row r="704" ht="12.75" customHeight="1" s="11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  <c r="BL704" s="6" t="n"/>
      <c r="BM704" s="6" t="n"/>
      <c r="BN704" s="6" t="n"/>
      <c r="BO704" s="6" t="n"/>
    </row>
    <row r="705" ht="12.75" customHeight="1" s="11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  <c r="BL705" s="6" t="n"/>
      <c r="BM705" s="6" t="n"/>
      <c r="BN705" s="6" t="n"/>
      <c r="BO705" s="6" t="n"/>
    </row>
    <row r="706" ht="12.75" customHeight="1" s="11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  <c r="BL706" s="6" t="n"/>
      <c r="BM706" s="6" t="n"/>
      <c r="BN706" s="6" t="n"/>
      <c r="BO706" s="6" t="n"/>
    </row>
    <row r="707" ht="12.75" customHeight="1" s="11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  <c r="BL707" s="6" t="n"/>
      <c r="BM707" s="6" t="n"/>
      <c r="BN707" s="6" t="n"/>
      <c r="BO707" s="6" t="n"/>
    </row>
    <row r="708" ht="12.75" customHeight="1" s="11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  <c r="BL708" s="6" t="n"/>
      <c r="BM708" s="6" t="n"/>
      <c r="BN708" s="6" t="n"/>
      <c r="BO708" s="6" t="n"/>
    </row>
    <row r="709" ht="12.75" customHeight="1" s="11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  <c r="BL709" s="6" t="n"/>
      <c r="BM709" s="6" t="n"/>
      <c r="BN709" s="6" t="n"/>
      <c r="BO709" s="6" t="n"/>
    </row>
    <row r="710" ht="12.75" customHeight="1" s="11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  <c r="BL710" s="6" t="n"/>
      <c r="BM710" s="6" t="n"/>
      <c r="BN710" s="6" t="n"/>
      <c r="BO710" s="6" t="n"/>
    </row>
    <row r="711" ht="12.75" customHeight="1" s="1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  <c r="BL711" s="6" t="n"/>
      <c r="BM711" s="6" t="n"/>
      <c r="BN711" s="6" t="n"/>
      <c r="BO711" s="6" t="n"/>
    </row>
    <row r="712" ht="12.75" customHeight="1" s="11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  <c r="BL712" s="6" t="n"/>
      <c r="BM712" s="6" t="n"/>
      <c r="BN712" s="6" t="n"/>
      <c r="BO712" s="6" t="n"/>
    </row>
    <row r="713" ht="12.75" customHeight="1" s="11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  <c r="BL713" s="6" t="n"/>
      <c r="BM713" s="6" t="n"/>
      <c r="BN713" s="6" t="n"/>
      <c r="BO713" s="6" t="n"/>
    </row>
    <row r="714" ht="12.75" customHeight="1" s="11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  <c r="BL714" s="6" t="n"/>
      <c r="BM714" s="6" t="n"/>
      <c r="BN714" s="6" t="n"/>
      <c r="BO714" s="6" t="n"/>
    </row>
    <row r="715" ht="12.75" customHeight="1" s="11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  <c r="BL715" s="6" t="n"/>
      <c r="BM715" s="6" t="n"/>
      <c r="BN715" s="6" t="n"/>
      <c r="BO715" s="6" t="n"/>
    </row>
    <row r="716" ht="12.75" customHeight="1" s="11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  <c r="BL716" s="6" t="n"/>
      <c r="BM716" s="6" t="n"/>
      <c r="BN716" s="6" t="n"/>
      <c r="BO716" s="6" t="n"/>
    </row>
    <row r="717" ht="12.75" customHeight="1" s="11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  <c r="BL717" s="6" t="n"/>
      <c r="BM717" s="6" t="n"/>
      <c r="BN717" s="6" t="n"/>
      <c r="BO717" s="6" t="n"/>
    </row>
    <row r="718" ht="12.75" customHeight="1" s="11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  <c r="BL718" s="6" t="n"/>
      <c r="BM718" s="6" t="n"/>
      <c r="BN718" s="6" t="n"/>
      <c r="BO718" s="6" t="n"/>
    </row>
    <row r="719" ht="12.75" customHeight="1" s="11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  <c r="BL719" s="6" t="n"/>
      <c r="BM719" s="6" t="n"/>
      <c r="BN719" s="6" t="n"/>
      <c r="BO719" s="6" t="n"/>
    </row>
    <row r="720" ht="12.75" customHeight="1" s="11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  <c r="BL720" s="6" t="n"/>
      <c r="BM720" s="6" t="n"/>
      <c r="BN720" s="6" t="n"/>
      <c r="BO720" s="6" t="n"/>
    </row>
    <row r="721" ht="12.75" customHeight="1" s="11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  <c r="BL721" s="6" t="n"/>
      <c r="BM721" s="6" t="n"/>
      <c r="BN721" s="6" t="n"/>
      <c r="BO721" s="6" t="n"/>
    </row>
    <row r="722" ht="12.75" customHeight="1" s="11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  <c r="BL722" s="6" t="n"/>
      <c r="BM722" s="6" t="n"/>
      <c r="BN722" s="6" t="n"/>
      <c r="BO722" s="6" t="n"/>
    </row>
    <row r="723" ht="12.75" customHeight="1" s="11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  <c r="BL723" s="6" t="n"/>
      <c r="BM723" s="6" t="n"/>
      <c r="BN723" s="6" t="n"/>
      <c r="BO723" s="6" t="n"/>
    </row>
    <row r="724" ht="12.75" customHeight="1" s="11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  <c r="BL724" s="6" t="n"/>
      <c r="BM724" s="6" t="n"/>
      <c r="BN724" s="6" t="n"/>
      <c r="BO724" s="6" t="n"/>
    </row>
    <row r="725" ht="12.75" customHeight="1" s="11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  <c r="BL725" s="6" t="n"/>
      <c r="BM725" s="6" t="n"/>
      <c r="BN725" s="6" t="n"/>
      <c r="BO725" s="6" t="n"/>
    </row>
    <row r="726" ht="12.75" customHeight="1" s="11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  <c r="BL726" s="6" t="n"/>
      <c r="BM726" s="6" t="n"/>
      <c r="BN726" s="6" t="n"/>
      <c r="BO726" s="6" t="n"/>
    </row>
    <row r="727" ht="12.75" customHeight="1" s="11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  <c r="BL727" s="6" t="n"/>
      <c r="BM727" s="6" t="n"/>
      <c r="BN727" s="6" t="n"/>
      <c r="BO727" s="6" t="n"/>
    </row>
    <row r="728" ht="12.75" customHeight="1" s="11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  <c r="BL728" s="6" t="n"/>
      <c r="BM728" s="6" t="n"/>
      <c r="BN728" s="6" t="n"/>
      <c r="BO728" s="6" t="n"/>
    </row>
    <row r="729" ht="12.75" customHeight="1" s="11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  <c r="BL729" s="6" t="n"/>
      <c r="BM729" s="6" t="n"/>
      <c r="BN729" s="6" t="n"/>
      <c r="BO729" s="6" t="n"/>
    </row>
    <row r="730" ht="12.75" customHeight="1" s="11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  <c r="BL730" s="6" t="n"/>
      <c r="BM730" s="6" t="n"/>
      <c r="BN730" s="6" t="n"/>
      <c r="BO730" s="6" t="n"/>
    </row>
    <row r="731" ht="12.75" customHeight="1" s="11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  <c r="BL731" s="6" t="n"/>
      <c r="BM731" s="6" t="n"/>
      <c r="BN731" s="6" t="n"/>
      <c r="BO731" s="6" t="n"/>
    </row>
    <row r="732" ht="12.75" customHeight="1" s="11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  <c r="BL732" s="6" t="n"/>
      <c r="BM732" s="6" t="n"/>
      <c r="BN732" s="6" t="n"/>
      <c r="BO732" s="6" t="n"/>
    </row>
    <row r="733" ht="12.75" customHeight="1" s="11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  <c r="BL733" s="6" t="n"/>
      <c r="BM733" s="6" t="n"/>
      <c r="BN733" s="6" t="n"/>
      <c r="BO733" s="6" t="n"/>
    </row>
    <row r="734" ht="12.75" customHeight="1" s="11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  <c r="BL734" s="6" t="n"/>
      <c r="BM734" s="6" t="n"/>
      <c r="BN734" s="6" t="n"/>
      <c r="BO734" s="6" t="n"/>
    </row>
    <row r="735" ht="12.75" customHeight="1" s="11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  <c r="BL735" s="6" t="n"/>
      <c r="BM735" s="6" t="n"/>
      <c r="BN735" s="6" t="n"/>
      <c r="BO735" s="6" t="n"/>
    </row>
    <row r="736" ht="12.75" customHeight="1" s="11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  <c r="BL736" s="6" t="n"/>
      <c r="BM736" s="6" t="n"/>
      <c r="BN736" s="6" t="n"/>
      <c r="BO736" s="6" t="n"/>
    </row>
    <row r="737" ht="12.75" customHeight="1" s="11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  <c r="BL737" s="6" t="n"/>
      <c r="BM737" s="6" t="n"/>
      <c r="BN737" s="6" t="n"/>
      <c r="BO737" s="6" t="n"/>
    </row>
    <row r="738" ht="12.75" customHeight="1" s="11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  <c r="BL738" s="6" t="n"/>
      <c r="BM738" s="6" t="n"/>
      <c r="BN738" s="6" t="n"/>
      <c r="BO738" s="6" t="n"/>
    </row>
    <row r="739" ht="12.75" customHeight="1" s="11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  <c r="BL739" s="6" t="n"/>
      <c r="BM739" s="6" t="n"/>
      <c r="BN739" s="6" t="n"/>
      <c r="BO739" s="6" t="n"/>
    </row>
    <row r="740" ht="12.75" customHeight="1" s="11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  <c r="BL740" s="6" t="n"/>
      <c r="BM740" s="6" t="n"/>
      <c r="BN740" s="6" t="n"/>
      <c r="BO740" s="6" t="n"/>
    </row>
    <row r="741" ht="12.75" customHeight="1" s="11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  <c r="BL741" s="6" t="n"/>
      <c r="BM741" s="6" t="n"/>
      <c r="BN741" s="6" t="n"/>
      <c r="BO741" s="6" t="n"/>
    </row>
    <row r="742" ht="12.75" customHeight="1" s="11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  <c r="BL742" s="6" t="n"/>
      <c r="BM742" s="6" t="n"/>
      <c r="BN742" s="6" t="n"/>
      <c r="BO742" s="6" t="n"/>
    </row>
    <row r="743" ht="12.75" customHeight="1" s="11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  <c r="BL743" s="6" t="n"/>
      <c r="BM743" s="6" t="n"/>
      <c r="BN743" s="6" t="n"/>
      <c r="BO743" s="6" t="n"/>
    </row>
    <row r="744" ht="12.75" customHeight="1" s="11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  <c r="BL744" s="6" t="n"/>
      <c r="BM744" s="6" t="n"/>
      <c r="BN744" s="6" t="n"/>
      <c r="BO744" s="6" t="n"/>
    </row>
    <row r="745" ht="12.75" customHeight="1" s="11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  <c r="BL745" s="6" t="n"/>
      <c r="BM745" s="6" t="n"/>
      <c r="BN745" s="6" t="n"/>
      <c r="BO745" s="6" t="n"/>
    </row>
    <row r="746" ht="12.75" customHeight="1" s="11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  <c r="BL746" s="6" t="n"/>
      <c r="BM746" s="6" t="n"/>
      <c r="BN746" s="6" t="n"/>
      <c r="BO746" s="6" t="n"/>
    </row>
    <row r="747" ht="12.75" customHeight="1" s="11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  <c r="BL747" s="6" t="n"/>
      <c r="BM747" s="6" t="n"/>
      <c r="BN747" s="6" t="n"/>
      <c r="BO747" s="6" t="n"/>
    </row>
    <row r="748" ht="12.75" customHeight="1" s="11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  <c r="BL748" s="6" t="n"/>
      <c r="BM748" s="6" t="n"/>
      <c r="BN748" s="6" t="n"/>
      <c r="BO748" s="6" t="n"/>
    </row>
    <row r="749" ht="12.75" customHeight="1" s="11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  <c r="BL749" s="6" t="n"/>
      <c r="BM749" s="6" t="n"/>
      <c r="BN749" s="6" t="n"/>
      <c r="BO749" s="6" t="n"/>
    </row>
    <row r="750" ht="12.75" customHeight="1" s="11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  <c r="BL750" s="6" t="n"/>
      <c r="BM750" s="6" t="n"/>
      <c r="BN750" s="6" t="n"/>
      <c r="BO750" s="6" t="n"/>
    </row>
    <row r="751" ht="12.75" customHeight="1" s="11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  <c r="BL751" s="6" t="n"/>
      <c r="BM751" s="6" t="n"/>
      <c r="BN751" s="6" t="n"/>
      <c r="BO751" s="6" t="n"/>
    </row>
    <row r="752" ht="12.75" customHeight="1" s="11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  <c r="BL752" s="6" t="n"/>
      <c r="BM752" s="6" t="n"/>
      <c r="BN752" s="6" t="n"/>
      <c r="BO752" s="6" t="n"/>
    </row>
    <row r="753" ht="12.75" customHeight="1" s="11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  <c r="BL753" s="6" t="n"/>
      <c r="BM753" s="6" t="n"/>
      <c r="BN753" s="6" t="n"/>
      <c r="BO753" s="6" t="n"/>
    </row>
    <row r="754" ht="12.75" customHeight="1" s="11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  <c r="BL754" s="6" t="n"/>
      <c r="BM754" s="6" t="n"/>
      <c r="BN754" s="6" t="n"/>
      <c r="BO754" s="6" t="n"/>
    </row>
    <row r="755" ht="12.75" customHeight="1" s="11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  <c r="BL755" s="6" t="n"/>
      <c r="BM755" s="6" t="n"/>
      <c r="BN755" s="6" t="n"/>
      <c r="BO755" s="6" t="n"/>
    </row>
    <row r="756" ht="12.75" customHeight="1" s="11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  <c r="BL756" s="6" t="n"/>
      <c r="BM756" s="6" t="n"/>
      <c r="BN756" s="6" t="n"/>
      <c r="BO756" s="6" t="n"/>
    </row>
    <row r="757" ht="12.75" customHeight="1" s="11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  <c r="BL757" s="6" t="n"/>
      <c r="BM757" s="6" t="n"/>
      <c r="BN757" s="6" t="n"/>
      <c r="BO757" s="6" t="n"/>
    </row>
    <row r="758" ht="12.75" customHeight="1" s="11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  <c r="BL758" s="6" t="n"/>
      <c r="BM758" s="6" t="n"/>
      <c r="BN758" s="6" t="n"/>
      <c r="BO758" s="6" t="n"/>
    </row>
    <row r="759" ht="12.75" customHeight="1" s="11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  <c r="BL759" s="6" t="n"/>
      <c r="BM759" s="6" t="n"/>
      <c r="BN759" s="6" t="n"/>
      <c r="BO759" s="6" t="n"/>
    </row>
    <row r="760" ht="12.75" customHeight="1" s="11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  <c r="BL760" s="6" t="n"/>
      <c r="BM760" s="6" t="n"/>
      <c r="BN760" s="6" t="n"/>
      <c r="BO760" s="6" t="n"/>
    </row>
    <row r="761" ht="12.75" customHeight="1" s="11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  <c r="BL761" s="6" t="n"/>
      <c r="BM761" s="6" t="n"/>
      <c r="BN761" s="6" t="n"/>
      <c r="BO761" s="6" t="n"/>
    </row>
    <row r="762" ht="12.75" customHeight="1" s="11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  <c r="BL762" s="6" t="n"/>
      <c r="BM762" s="6" t="n"/>
      <c r="BN762" s="6" t="n"/>
      <c r="BO762" s="6" t="n"/>
    </row>
    <row r="763" ht="12.75" customHeight="1" s="11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  <c r="BL763" s="6" t="n"/>
      <c r="BM763" s="6" t="n"/>
      <c r="BN763" s="6" t="n"/>
      <c r="BO763" s="6" t="n"/>
    </row>
    <row r="764" ht="12.75" customHeight="1" s="11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  <c r="BL764" s="6" t="n"/>
      <c r="BM764" s="6" t="n"/>
      <c r="BN764" s="6" t="n"/>
      <c r="BO764" s="6" t="n"/>
    </row>
    <row r="765" ht="12.75" customHeight="1" s="11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  <c r="BL765" s="6" t="n"/>
      <c r="BM765" s="6" t="n"/>
      <c r="BN765" s="6" t="n"/>
      <c r="BO765" s="6" t="n"/>
    </row>
    <row r="766" ht="12.75" customHeight="1" s="11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  <c r="BL766" s="6" t="n"/>
      <c r="BM766" s="6" t="n"/>
      <c r="BN766" s="6" t="n"/>
      <c r="BO766" s="6" t="n"/>
    </row>
    <row r="767" ht="12.75" customHeight="1" s="11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  <c r="BL767" s="6" t="n"/>
      <c r="BM767" s="6" t="n"/>
      <c r="BN767" s="6" t="n"/>
      <c r="BO767" s="6" t="n"/>
    </row>
    <row r="768" ht="12.75" customHeight="1" s="11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  <c r="BL768" s="6" t="n"/>
      <c r="BM768" s="6" t="n"/>
      <c r="BN768" s="6" t="n"/>
      <c r="BO768" s="6" t="n"/>
    </row>
    <row r="769" ht="12.75" customHeight="1" s="11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  <c r="BL769" s="6" t="n"/>
      <c r="BM769" s="6" t="n"/>
      <c r="BN769" s="6" t="n"/>
      <c r="BO769" s="6" t="n"/>
    </row>
    <row r="770" ht="12.75" customHeight="1" s="11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  <c r="BL770" s="6" t="n"/>
      <c r="BM770" s="6" t="n"/>
      <c r="BN770" s="6" t="n"/>
      <c r="BO770" s="6" t="n"/>
    </row>
    <row r="771" ht="12.75" customHeight="1" s="11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  <c r="BL771" s="6" t="n"/>
      <c r="BM771" s="6" t="n"/>
      <c r="BN771" s="6" t="n"/>
      <c r="BO771" s="6" t="n"/>
    </row>
    <row r="772" ht="12.75" customHeight="1" s="11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  <c r="BL772" s="6" t="n"/>
      <c r="BM772" s="6" t="n"/>
      <c r="BN772" s="6" t="n"/>
      <c r="BO772" s="6" t="n"/>
    </row>
    <row r="773" ht="12.75" customHeight="1" s="11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  <c r="BL773" s="6" t="n"/>
      <c r="BM773" s="6" t="n"/>
      <c r="BN773" s="6" t="n"/>
      <c r="BO773" s="6" t="n"/>
    </row>
    <row r="774" ht="12.75" customHeight="1" s="11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  <c r="BL774" s="6" t="n"/>
      <c r="BM774" s="6" t="n"/>
      <c r="BN774" s="6" t="n"/>
      <c r="BO774" s="6" t="n"/>
    </row>
    <row r="775" ht="12.75" customHeight="1" s="11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  <c r="BL775" s="6" t="n"/>
      <c r="BM775" s="6" t="n"/>
      <c r="BN775" s="6" t="n"/>
      <c r="BO775" s="6" t="n"/>
    </row>
    <row r="776" ht="12.75" customHeight="1" s="11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  <c r="BL776" s="6" t="n"/>
      <c r="BM776" s="6" t="n"/>
      <c r="BN776" s="6" t="n"/>
      <c r="BO776" s="6" t="n"/>
    </row>
    <row r="777" ht="12.75" customHeight="1" s="11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  <c r="BL777" s="6" t="n"/>
      <c r="BM777" s="6" t="n"/>
      <c r="BN777" s="6" t="n"/>
      <c r="BO777" s="6" t="n"/>
    </row>
    <row r="778" ht="12.75" customHeight="1" s="11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  <c r="BL778" s="6" t="n"/>
      <c r="BM778" s="6" t="n"/>
      <c r="BN778" s="6" t="n"/>
      <c r="BO778" s="6" t="n"/>
    </row>
    <row r="779" ht="12.75" customHeight="1" s="11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  <c r="BL779" s="6" t="n"/>
      <c r="BM779" s="6" t="n"/>
      <c r="BN779" s="6" t="n"/>
      <c r="BO779" s="6" t="n"/>
    </row>
    <row r="780" ht="12.75" customHeight="1" s="11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  <c r="BL780" s="6" t="n"/>
      <c r="BM780" s="6" t="n"/>
      <c r="BN780" s="6" t="n"/>
      <c r="BO780" s="6" t="n"/>
    </row>
    <row r="781" ht="12.75" customHeight="1" s="11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  <c r="BL781" s="6" t="n"/>
      <c r="BM781" s="6" t="n"/>
      <c r="BN781" s="6" t="n"/>
      <c r="BO781" s="6" t="n"/>
    </row>
    <row r="782" ht="12.75" customHeight="1" s="11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  <c r="BL782" s="6" t="n"/>
      <c r="BM782" s="6" t="n"/>
      <c r="BN782" s="6" t="n"/>
      <c r="BO782" s="6" t="n"/>
    </row>
    <row r="783" ht="12.75" customHeight="1" s="11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  <c r="BL783" s="6" t="n"/>
      <c r="BM783" s="6" t="n"/>
      <c r="BN783" s="6" t="n"/>
      <c r="BO783" s="6" t="n"/>
    </row>
    <row r="784" ht="12.75" customHeight="1" s="11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  <c r="BL784" s="6" t="n"/>
      <c r="BM784" s="6" t="n"/>
      <c r="BN784" s="6" t="n"/>
      <c r="BO784" s="6" t="n"/>
    </row>
    <row r="785" ht="12.75" customHeight="1" s="11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  <c r="BL785" s="6" t="n"/>
      <c r="BM785" s="6" t="n"/>
      <c r="BN785" s="6" t="n"/>
      <c r="BO785" s="6" t="n"/>
    </row>
    <row r="786" ht="12.75" customHeight="1" s="11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  <c r="BL786" s="6" t="n"/>
      <c r="BM786" s="6" t="n"/>
      <c r="BN786" s="6" t="n"/>
      <c r="BO786" s="6" t="n"/>
    </row>
    <row r="787" ht="12.75" customHeight="1" s="11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  <c r="BL787" s="6" t="n"/>
      <c r="BM787" s="6" t="n"/>
      <c r="BN787" s="6" t="n"/>
      <c r="BO787" s="6" t="n"/>
    </row>
    <row r="788" ht="12.75" customHeight="1" s="11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  <c r="BL788" s="6" t="n"/>
      <c r="BM788" s="6" t="n"/>
      <c r="BN788" s="6" t="n"/>
      <c r="BO788" s="6" t="n"/>
    </row>
    <row r="789" ht="12.75" customHeight="1" s="11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  <c r="BL789" s="6" t="n"/>
      <c r="BM789" s="6" t="n"/>
      <c r="BN789" s="6" t="n"/>
      <c r="BO789" s="6" t="n"/>
    </row>
    <row r="790" ht="12.75" customHeight="1" s="11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  <c r="BL790" s="6" t="n"/>
      <c r="BM790" s="6" t="n"/>
      <c r="BN790" s="6" t="n"/>
      <c r="BO790" s="6" t="n"/>
    </row>
    <row r="791" ht="12.75" customHeight="1" s="11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  <c r="BL791" s="6" t="n"/>
      <c r="BM791" s="6" t="n"/>
      <c r="BN791" s="6" t="n"/>
      <c r="BO791" s="6" t="n"/>
    </row>
    <row r="792" ht="12.75" customHeight="1" s="11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  <c r="BL792" s="6" t="n"/>
      <c r="BM792" s="6" t="n"/>
      <c r="BN792" s="6" t="n"/>
      <c r="BO792" s="6" t="n"/>
    </row>
    <row r="793" ht="12.75" customHeight="1" s="11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  <c r="BL793" s="6" t="n"/>
      <c r="BM793" s="6" t="n"/>
      <c r="BN793" s="6" t="n"/>
      <c r="BO793" s="6" t="n"/>
    </row>
    <row r="794" ht="12.75" customHeight="1" s="11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  <c r="BL794" s="6" t="n"/>
      <c r="BM794" s="6" t="n"/>
      <c r="BN794" s="6" t="n"/>
      <c r="BO794" s="6" t="n"/>
    </row>
    <row r="795" ht="12.75" customHeight="1" s="11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  <c r="BL795" s="6" t="n"/>
      <c r="BM795" s="6" t="n"/>
      <c r="BN795" s="6" t="n"/>
      <c r="BO795" s="6" t="n"/>
    </row>
    <row r="796" ht="12.75" customHeight="1" s="11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  <c r="BL796" s="6" t="n"/>
      <c r="BM796" s="6" t="n"/>
      <c r="BN796" s="6" t="n"/>
      <c r="BO796" s="6" t="n"/>
    </row>
    <row r="797" ht="12.75" customHeight="1" s="11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  <c r="BL797" s="6" t="n"/>
      <c r="BM797" s="6" t="n"/>
      <c r="BN797" s="6" t="n"/>
      <c r="BO797" s="6" t="n"/>
    </row>
    <row r="798" ht="12.75" customHeight="1" s="11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  <c r="BL798" s="6" t="n"/>
      <c r="BM798" s="6" t="n"/>
      <c r="BN798" s="6" t="n"/>
      <c r="BO798" s="6" t="n"/>
    </row>
    <row r="799" ht="12.75" customHeight="1" s="11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  <c r="BL799" s="6" t="n"/>
      <c r="BM799" s="6" t="n"/>
      <c r="BN799" s="6" t="n"/>
      <c r="BO799" s="6" t="n"/>
    </row>
    <row r="800" ht="12.75" customHeight="1" s="11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  <c r="BL800" s="6" t="n"/>
      <c r="BM800" s="6" t="n"/>
      <c r="BN800" s="6" t="n"/>
      <c r="BO800" s="6" t="n"/>
    </row>
    <row r="801" ht="12.75" customHeight="1" s="11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  <c r="BL801" s="6" t="n"/>
      <c r="BM801" s="6" t="n"/>
      <c r="BN801" s="6" t="n"/>
      <c r="BO801" s="6" t="n"/>
    </row>
    <row r="802" ht="12.75" customHeight="1" s="11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  <c r="BL802" s="6" t="n"/>
      <c r="BM802" s="6" t="n"/>
      <c r="BN802" s="6" t="n"/>
      <c r="BO802" s="6" t="n"/>
    </row>
    <row r="803" ht="12.75" customHeight="1" s="11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  <c r="BL803" s="6" t="n"/>
      <c r="BM803" s="6" t="n"/>
      <c r="BN803" s="6" t="n"/>
      <c r="BO803" s="6" t="n"/>
    </row>
    <row r="804" ht="12.75" customHeight="1" s="11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  <c r="BL804" s="6" t="n"/>
      <c r="BM804" s="6" t="n"/>
      <c r="BN804" s="6" t="n"/>
      <c r="BO804" s="6" t="n"/>
    </row>
    <row r="805" ht="12.75" customHeight="1" s="11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  <c r="BL805" s="6" t="n"/>
      <c r="BM805" s="6" t="n"/>
      <c r="BN805" s="6" t="n"/>
      <c r="BO805" s="6" t="n"/>
    </row>
    <row r="806" ht="12.75" customHeight="1" s="11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  <c r="BL806" s="6" t="n"/>
      <c r="BM806" s="6" t="n"/>
      <c r="BN806" s="6" t="n"/>
      <c r="BO806" s="6" t="n"/>
    </row>
    <row r="807" ht="12.75" customHeight="1" s="11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  <c r="BL807" s="6" t="n"/>
      <c r="BM807" s="6" t="n"/>
      <c r="BN807" s="6" t="n"/>
      <c r="BO807" s="6" t="n"/>
    </row>
    <row r="808" ht="12.75" customHeight="1" s="11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  <c r="BL808" s="6" t="n"/>
      <c r="BM808" s="6" t="n"/>
      <c r="BN808" s="6" t="n"/>
      <c r="BO808" s="6" t="n"/>
    </row>
    <row r="809" ht="12.75" customHeight="1" s="11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  <c r="BL809" s="6" t="n"/>
      <c r="BM809" s="6" t="n"/>
      <c r="BN809" s="6" t="n"/>
      <c r="BO809" s="6" t="n"/>
    </row>
    <row r="810" ht="12.75" customHeight="1" s="11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  <c r="BL810" s="6" t="n"/>
      <c r="BM810" s="6" t="n"/>
      <c r="BN810" s="6" t="n"/>
      <c r="BO810" s="6" t="n"/>
    </row>
    <row r="811" ht="12.75" customHeight="1" s="1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  <c r="BL811" s="6" t="n"/>
      <c r="BM811" s="6" t="n"/>
      <c r="BN811" s="6" t="n"/>
      <c r="BO811" s="6" t="n"/>
    </row>
    <row r="812" ht="12.75" customHeight="1" s="11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  <c r="BL812" s="6" t="n"/>
      <c r="BM812" s="6" t="n"/>
      <c r="BN812" s="6" t="n"/>
      <c r="BO812" s="6" t="n"/>
    </row>
    <row r="813" ht="12.75" customHeight="1" s="11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  <c r="BL813" s="6" t="n"/>
      <c r="BM813" s="6" t="n"/>
      <c r="BN813" s="6" t="n"/>
      <c r="BO813" s="6" t="n"/>
    </row>
    <row r="814" ht="12.75" customHeight="1" s="11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  <c r="BL814" s="6" t="n"/>
      <c r="BM814" s="6" t="n"/>
      <c r="BN814" s="6" t="n"/>
      <c r="BO814" s="6" t="n"/>
    </row>
    <row r="815" ht="12.75" customHeight="1" s="11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  <c r="BL815" s="6" t="n"/>
      <c r="BM815" s="6" t="n"/>
      <c r="BN815" s="6" t="n"/>
      <c r="BO815" s="6" t="n"/>
    </row>
    <row r="816" ht="12.75" customHeight="1" s="11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  <c r="BL816" s="6" t="n"/>
      <c r="BM816" s="6" t="n"/>
      <c r="BN816" s="6" t="n"/>
      <c r="BO816" s="6" t="n"/>
    </row>
    <row r="817" ht="12.75" customHeight="1" s="11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  <c r="BL817" s="6" t="n"/>
      <c r="BM817" s="6" t="n"/>
      <c r="BN817" s="6" t="n"/>
      <c r="BO817" s="6" t="n"/>
    </row>
    <row r="818" ht="12.75" customHeight="1" s="11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  <c r="BL818" s="6" t="n"/>
      <c r="BM818" s="6" t="n"/>
      <c r="BN818" s="6" t="n"/>
      <c r="BO818" s="6" t="n"/>
    </row>
    <row r="819" ht="12.75" customHeight="1" s="11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  <c r="BL819" s="6" t="n"/>
      <c r="BM819" s="6" t="n"/>
      <c r="BN819" s="6" t="n"/>
      <c r="BO819" s="6" t="n"/>
    </row>
    <row r="820" ht="12.75" customHeight="1" s="11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  <c r="BL820" s="6" t="n"/>
      <c r="BM820" s="6" t="n"/>
      <c r="BN820" s="6" t="n"/>
      <c r="BO820" s="6" t="n"/>
    </row>
    <row r="821" ht="12.75" customHeight="1" s="11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  <c r="BL821" s="6" t="n"/>
      <c r="BM821" s="6" t="n"/>
      <c r="BN821" s="6" t="n"/>
      <c r="BO821" s="6" t="n"/>
    </row>
    <row r="822" ht="12.75" customHeight="1" s="11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  <c r="BL822" s="6" t="n"/>
      <c r="BM822" s="6" t="n"/>
      <c r="BN822" s="6" t="n"/>
      <c r="BO822" s="6" t="n"/>
    </row>
    <row r="823" ht="12.75" customHeight="1" s="11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  <c r="BL823" s="6" t="n"/>
      <c r="BM823" s="6" t="n"/>
      <c r="BN823" s="6" t="n"/>
      <c r="BO823" s="6" t="n"/>
    </row>
    <row r="824" ht="12.75" customHeight="1" s="11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  <c r="BL824" s="6" t="n"/>
      <c r="BM824" s="6" t="n"/>
      <c r="BN824" s="6" t="n"/>
      <c r="BO824" s="6" t="n"/>
    </row>
    <row r="825" ht="12.75" customHeight="1" s="11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  <c r="BL825" s="6" t="n"/>
      <c r="BM825" s="6" t="n"/>
      <c r="BN825" s="6" t="n"/>
      <c r="BO825" s="6" t="n"/>
    </row>
    <row r="826" ht="12.75" customHeight="1" s="11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  <c r="BL826" s="6" t="n"/>
      <c r="BM826" s="6" t="n"/>
      <c r="BN826" s="6" t="n"/>
      <c r="BO826" s="6" t="n"/>
    </row>
    <row r="827" ht="12.75" customHeight="1" s="11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  <c r="BL827" s="6" t="n"/>
      <c r="BM827" s="6" t="n"/>
      <c r="BN827" s="6" t="n"/>
      <c r="BO827" s="6" t="n"/>
    </row>
    <row r="828" ht="12.75" customHeight="1" s="11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  <c r="BL828" s="6" t="n"/>
      <c r="BM828" s="6" t="n"/>
      <c r="BN828" s="6" t="n"/>
      <c r="BO828" s="6" t="n"/>
    </row>
    <row r="829" ht="12.75" customHeight="1" s="11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  <c r="BL829" s="6" t="n"/>
      <c r="BM829" s="6" t="n"/>
      <c r="BN829" s="6" t="n"/>
      <c r="BO829" s="6" t="n"/>
    </row>
    <row r="830" ht="12.75" customHeight="1" s="11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  <c r="BL830" s="6" t="n"/>
      <c r="BM830" s="6" t="n"/>
      <c r="BN830" s="6" t="n"/>
      <c r="BO830" s="6" t="n"/>
    </row>
    <row r="831" ht="12.75" customHeight="1" s="11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  <c r="BL831" s="6" t="n"/>
      <c r="BM831" s="6" t="n"/>
      <c r="BN831" s="6" t="n"/>
      <c r="BO831" s="6" t="n"/>
    </row>
    <row r="832" ht="12.75" customHeight="1" s="11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  <c r="BL832" s="6" t="n"/>
      <c r="BM832" s="6" t="n"/>
      <c r="BN832" s="6" t="n"/>
      <c r="BO832" s="6" t="n"/>
    </row>
    <row r="833" ht="12.75" customHeight="1" s="11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  <c r="BL833" s="6" t="n"/>
      <c r="BM833" s="6" t="n"/>
      <c r="BN833" s="6" t="n"/>
      <c r="BO833" s="6" t="n"/>
    </row>
    <row r="834" ht="12.75" customHeight="1" s="11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  <c r="BL834" s="6" t="n"/>
      <c r="BM834" s="6" t="n"/>
      <c r="BN834" s="6" t="n"/>
      <c r="BO834" s="6" t="n"/>
    </row>
    <row r="835" ht="12.75" customHeight="1" s="11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  <c r="BL835" s="6" t="n"/>
      <c r="BM835" s="6" t="n"/>
      <c r="BN835" s="6" t="n"/>
      <c r="BO835" s="6" t="n"/>
    </row>
    <row r="836" ht="12.75" customHeight="1" s="11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  <c r="BL836" s="6" t="n"/>
      <c r="BM836" s="6" t="n"/>
      <c r="BN836" s="6" t="n"/>
      <c r="BO836" s="6" t="n"/>
    </row>
    <row r="837" ht="12.75" customHeight="1" s="11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  <c r="BL837" s="6" t="n"/>
      <c r="BM837" s="6" t="n"/>
      <c r="BN837" s="6" t="n"/>
      <c r="BO837" s="6" t="n"/>
    </row>
    <row r="838" ht="12.75" customHeight="1" s="11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  <c r="BL838" s="6" t="n"/>
      <c r="BM838" s="6" t="n"/>
      <c r="BN838" s="6" t="n"/>
      <c r="BO838" s="6" t="n"/>
    </row>
    <row r="839" ht="12.75" customHeight="1" s="11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  <c r="BL839" s="6" t="n"/>
      <c r="BM839" s="6" t="n"/>
      <c r="BN839" s="6" t="n"/>
      <c r="BO839" s="6" t="n"/>
    </row>
    <row r="840" ht="12.75" customHeight="1" s="11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  <c r="BL840" s="6" t="n"/>
      <c r="BM840" s="6" t="n"/>
      <c r="BN840" s="6" t="n"/>
      <c r="BO840" s="6" t="n"/>
    </row>
    <row r="841" ht="12.75" customHeight="1" s="11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  <c r="BL841" s="6" t="n"/>
      <c r="BM841" s="6" t="n"/>
      <c r="BN841" s="6" t="n"/>
      <c r="BO841" s="6" t="n"/>
    </row>
    <row r="842" ht="12.75" customHeight="1" s="11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  <c r="BL842" s="6" t="n"/>
      <c r="BM842" s="6" t="n"/>
      <c r="BN842" s="6" t="n"/>
      <c r="BO842" s="6" t="n"/>
    </row>
    <row r="843" ht="12.75" customHeight="1" s="11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  <c r="BL843" s="6" t="n"/>
      <c r="BM843" s="6" t="n"/>
      <c r="BN843" s="6" t="n"/>
      <c r="BO843" s="6" t="n"/>
    </row>
    <row r="844" ht="12.75" customHeight="1" s="11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  <c r="BL844" s="6" t="n"/>
      <c r="BM844" s="6" t="n"/>
      <c r="BN844" s="6" t="n"/>
      <c r="BO844" s="6" t="n"/>
    </row>
    <row r="845" ht="12.75" customHeight="1" s="11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  <c r="BL845" s="6" t="n"/>
      <c r="BM845" s="6" t="n"/>
      <c r="BN845" s="6" t="n"/>
      <c r="BO845" s="6" t="n"/>
    </row>
    <row r="846" ht="12.75" customHeight="1" s="11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  <c r="BL846" s="6" t="n"/>
      <c r="BM846" s="6" t="n"/>
      <c r="BN846" s="6" t="n"/>
      <c r="BO846" s="6" t="n"/>
    </row>
    <row r="847" ht="12.75" customHeight="1" s="11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  <c r="BL847" s="6" t="n"/>
      <c r="BM847" s="6" t="n"/>
      <c r="BN847" s="6" t="n"/>
      <c r="BO847" s="6" t="n"/>
    </row>
    <row r="848" ht="12.75" customHeight="1" s="11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  <c r="BL848" s="6" t="n"/>
      <c r="BM848" s="6" t="n"/>
      <c r="BN848" s="6" t="n"/>
      <c r="BO848" s="6" t="n"/>
    </row>
    <row r="849" ht="12.75" customHeight="1" s="11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  <c r="BL849" s="6" t="n"/>
      <c r="BM849" s="6" t="n"/>
      <c r="BN849" s="6" t="n"/>
      <c r="BO849" s="6" t="n"/>
    </row>
    <row r="850" ht="12.75" customHeight="1" s="11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  <c r="BL850" s="6" t="n"/>
      <c r="BM850" s="6" t="n"/>
      <c r="BN850" s="6" t="n"/>
      <c r="BO850" s="6" t="n"/>
    </row>
    <row r="851" ht="12.75" customHeight="1" s="11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  <c r="BL851" s="6" t="n"/>
      <c r="BM851" s="6" t="n"/>
      <c r="BN851" s="6" t="n"/>
      <c r="BO851" s="6" t="n"/>
    </row>
    <row r="852" ht="12.75" customHeight="1" s="11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  <c r="BL852" s="6" t="n"/>
      <c r="BM852" s="6" t="n"/>
      <c r="BN852" s="6" t="n"/>
      <c r="BO852" s="6" t="n"/>
    </row>
    <row r="853" ht="12.75" customHeight="1" s="11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  <c r="BL853" s="6" t="n"/>
      <c r="BM853" s="6" t="n"/>
      <c r="BN853" s="6" t="n"/>
      <c r="BO853" s="6" t="n"/>
    </row>
    <row r="854" ht="12.75" customHeight="1" s="11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  <c r="BL854" s="6" t="n"/>
      <c r="BM854" s="6" t="n"/>
      <c r="BN854" s="6" t="n"/>
      <c r="BO854" s="6" t="n"/>
    </row>
    <row r="855" ht="12.75" customHeight="1" s="11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  <c r="BL855" s="6" t="n"/>
      <c r="BM855" s="6" t="n"/>
      <c r="BN855" s="6" t="n"/>
      <c r="BO855" s="6" t="n"/>
    </row>
    <row r="856" ht="12.75" customHeight="1" s="11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  <c r="BL856" s="6" t="n"/>
      <c r="BM856" s="6" t="n"/>
      <c r="BN856" s="6" t="n"/>
      <c r="BO856" s="6" t="n"/>
    </row>
    <row r="857" ht="12.75" customHeight="1" s="11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  <c r="BL857" s="6" t="n"/>
      <c r="BM857" s="6" t="n"/>
      <c r="BN857" s="6" t="n"/>
      <c r="BO857" s="6" t="n"/>
    </row>
    <row r="858" ht="12.75" customHeight="1" s="11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  <c r="BL858" s="6" t="n"/>
      <c r="BM858" s="6" t="n"/>
      <c r="BN858" s="6" t="n"/>
      <c r="BO858" s="6" t="n"/>
    </row>
    <row r="859" ht="12.75" customHeight="1" s="11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  <c r="BL859" s="6" t="n"/>
      <c r="BM859" s="6" t="n"/>
      <c r="BN859" s="6" t="n"/>
      <c r="BO859" s="6" t="n"/>
    </row>
    <row r="860" ht="12.75" customHeight="1" s="11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  <c r="BL860" s="6" t="n"/>
      <c r="BM860" s="6" t="n"/>
      <c r="BN860" s="6" t="n"/>
      <c r="BO860" s="6" t="n"/>
    </row>
    <row r="861" ht="12.75" customHeight="1" s="11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  <c r="BL861" s="6" t="n"/>
      <c r="BM861" s="6" t="n"/>
      <c r="BN861" s="6" t="n"/>
      <c r="BO861" s="6" t="n"/>
    </row>
    <row r="862" ht="12.75" customHeight="1" s="11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  <c r="BL862" s="6" t="n"/>
      <c r="BM862" s="6" t="n"/>
      <c r="BN862" s="6" t="n"/>
      <c r="BO862" s="6" t="n"/>
    </row>
    <row r="863" ht="12.75" customHeight="1" s="11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  <c r="BL863" s="6" t="n"/>
      <c r="BM863" s="6" t="n"/>
      <c r="BN863" s="6" t="n"/>
      <c r="BO863" s="6" t="n"/>
    </row>
    <row r="864" ht="12.75" customHeight="1" s="11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  <c r="BL864" s="6" t="n"/>
      <c r="BM864" s="6" t="n"/>
      <c r="BN864" s="6" t="n"/>
      <c r="BO864" s="6" t="n"/>
    </row>
    <row r="865" ht="12.75" customHeight="1" s="11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  <c r="BL865" s="6" t="n"/>
      <c r="BM865" s="6" t="n"/>
      <c r="BN865" s="6" t="n"/>
      <c r="BO865" s="6" t="n"/>
    </row>
    <row r="866" ht="12.75" customHeight="1" s="11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  <c r="BL866" s="6" t="n"/>
      <c r="BM866" s="6" t="n"/>
      <c r="BN866" s="6" t="n"/>
      <c r="BO866" s="6" t="n"/>
    </row>
    <row r="867" ht="12.75" customHeight="1" s="11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  <c r="BL867" s="6" t="n"/>
      <c r="BM867" s="6" t="n"/>
      <c r="BN867" s="6" t="n"/>
      <c r="BO867" s="6" t="n"/>
    </row>
    <row r="868" ht="12.75" customHeight="1" s="11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  <c r="BL868" s="6" t="n"/>
      <c r="BM868" s="6" t="n"/>
      <c r="BN868" s="6" t="n"/>
      <c r="BO868" s="6" t="n"/>
    </row>
    <row r="869" ht="12.75" customHeight="1" s="11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  <c r="BL869" s="6" t="n"/>
      <c r="BM869" s="6" t="n"/>
      <c r="BN869" s="6" t="n"/>
      <c r="BO869" s="6" t="n"/>
    </row>
    <row r="870" ht="12.75" customHeight="1" s="11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  <c r="BL870" s="6" t="n"/>
      <c r="BM870" s="6" t="n"/>
      <c r="BN870" s="6" t="n"/>
      <c r="BO870" s="6" t="n"/>
    </row>
    <row r="871" ht="12.75" customHeight="1" s="11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  <c r="BL871" s="6" t="n"/>
      <c r="BM871" s="6" t="n"/>
      <c r="BN871" s="6" t="n"/>
      <c r="BO871" s="6" t="n"/>
    </row>
    <row r="872" ht="12.75" customHeight="1" s="11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  <c r="BL872" s="6" t="n"/>
      <c r="BM872" s="6" t="n"/>
      <c r="BN872" s="6" t="n"/>
      <c r="BO872" s="6" t="n"/>
    </row>
    <row r="873" ht="12.75" customHeight="1" s="11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  <c r="BL873" s="6" t="n"/>
      <c r="BM873" s="6" t="n"/>
      <c r="BN873" s="6" t="n"/>
      <c r="BO873" s="6" t="n"/>
    </row>
    <row r="874" ht="12.75" customHeight="1" s="11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  <c r="BL874" s="6" t="n"/>
      <c r="BM874" s="6" t="n"/>
      <c r="BN874" s="6" t="n"/>
      <c r="BO874" s="6" t="n"/>
    </row>
    <row r="875" ht="12.75" customHeight="1" s="11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  <c r="BL875" s="6" t="n"/>
      <c r="BM875" s="6" t="n"/>
      <c r="BN875" s="6" t="n"/>
      <c r="BO875" s="6" t="n"/>
    </row>
    <row r="876" ht="12.75" customHeight="1" s="11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  <c r="BL876" s="6" t="n"/>
      <c r="BM876" s="6" t="n"/>
      <c r="BN876" s="6" t="n"/>
      <c r="BO876" s="6" t="n"/>
    </row>
    <row r="877" ht="12.75" customHeight="1" s="11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  <c r="BL877" s="6" t="n"/>
      <c r="BM877" s="6" t="n"/>
      <c r="BN877" s="6" t="n"/>
      <c r="BO877" s="6" t="n"/>
    </row>
    <row r="878" ht="12.75" customHeight="1" s="11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  <c r="BL878" s="6" t="n"/>
      <c r="BM878" s="6" t="n"/>
      <c r="BN878" s="6" t="n"/>
      <c r="BO878" s="6" t="n"/>
    </row>
    <row r="879" ht="12.75" customHeight="1" s="11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  <c r="BL879" s="6" t="n"/>
      <c r="BM879" s="6" t="n"/>
      <c r="BN879" s="6" t="n"/>
      <c r="BO879" s="6" t="n"/>
    </row>
    <row r="880" ht="12.75" customHeight="1" s="11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  <c r="BL880" s="6" t="n"/>
      <c r="BM880" s="6" t="n"/>
      <c r="BN880" s="6" t="n"/>
      <c r="BO880" s="6" t="n"/>
    </row>
    <row r="881" ht="12.75" customHeight="1" s="11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  <c r="BL881" s="6" t="n"/>
      <c r="BM881" s="6" t="n"/>
      <c r="BN881" s="6" t="n"/>
      <c r="BO881" s="6" t="n"/>
    </row>
    <row r="882" ht="12.75" customHeight="1" s="11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  <c r="BL882" s="6" t="n"/>
      <c r="BM882" s="6" t="n"/>
      <c r="BN882" s="6" t="n"/>
      <c r="BO882" s="6" t="n"/>
    </row>
    <row r="883" ht="12.75" customHeight="1" s="11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  <c r="BL883" s="6" t="n"/>
      <c r="BM883" s="6" t="n"/>
      <c r="BN883" s="6" t="n"/>
      <c r="BO883" s="6" t="n"/>
    </row>
    <row r="884" ht="12.75" customHeight="1" s="11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  <c r="BL884" s="6" t="n"/>
      <c r="BM884" s="6" t="n"/>
      <c r="BN884" s="6" t="n"/>
      <c r="BO884" s="6" t="n"/>
    </row>
    <row r="885" ht="12.75" customHeight="1" s="11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  <c r="BL885" s="6" t="n"/>
      <c r="BM885" s="6" t="n"/>
      <c r="BN885" s="6" t="n"/>
      <c r="BO885" s="6" t="n"/>
    </row>
    <row r="886" ht="12.75" customHeight="1" s="11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  <c r="BL886" s="6" t="n"/>
      <c r="BM886" s="6" t="n"/>
      <c r="BN886" s="6" t="n"/>
      <c r="BO886" s="6" t="n"/>
    </row>
    <row r="887" ht="12.75" customHeight="1" s="11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  <c r="BL887" s="6" t="n"/>
      <c r="BM887" s="6" t="n"/>
      <c r="BN887" s="6" t="n"/>
      <c r="BO887" s="6" t="n"/>
    </row>
    <row r="888" ht="12.75" customHeight="1" s="11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  <c r="BL888" s="6" t="n"/>
      <c r="BM888" s="6" t="n"/>
      <c r="BN888" s="6" t="n"/>
      <c r="BO888" s="6" t="n"/>
    </row>
    <row r="889" ht="12.75" customHeight="1" s="11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  <c r="BL889" s="6" t="n"/>
      <c r="BM889" s="6" t="n"/>
      <c r="BN889" s="6" t="n"/>
      <c r="BO889" s="6" t="n"/>
    </row>
    <row r="890" ht="12.75" customHeight="1" s="11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  <c r="BL890" s="6" t="n"/>
      <c r="BM890" s="6" t="n"/>
      <c r="BN890" s="6" t="n"/>
      <c r="BO890" s="6" t="n"/>
    </row>
    <row r="891" ht="12.75" customHeight="1" s="11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  <c r="BL891" s="6" t="n"/>
      <c r="BM891" s="6" t="n"/>
      <c r="BN891" s="6" t="n"/>
      <c r="BO891" s="6" t="n"/>
    </row>
    <row r="892" ht="12.75" customHeight="1" s="11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  <c r="BL892" s="6" t="n"/>
      <c r="BM892" s="6" t="n"/>
      <c r="BN892" s="6" t="n"/>
      <c r="BO892" s="6" t="n"/>
    </row>
    <row r="893" ht="12.75" customHeight="1" s="11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  <c r="BL893" s="6" t="n"/>
      <c r="BM893" s="6" t="n"/>
      <c r="BN893" s="6" t="n"/>
      <c r="BO893" s="6" t="n"/>
    </row>
    <row r="894" ht="12.75" customHeight="1" s="11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  <c r="BL894" s="6" t="n"/>
      <c r="BM894" s="6" t="n"/>
      <c r="BN894" s="6" t="n"/>
      <c r="BO894" s="6" t="n"/>
    </row>
    <row r="895" ht="12.75" customHeight="1" s="11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  <c r="BL895" s="6" t="n"/>
      <c r="BM895" s="6" t="n"/>
      <c r="BN895" s="6" t="n"/>
      <c r="BO895" s="6" t="n"/>
    </row>
    <row r="896" ht="12.75" customHeight="1" s="11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  <c r="BL896" s="6" t="n"/>
      <c r="BM896" s="6" t="n"/>
      <c r="BN896" s="6" t="n"/>
      <c r="BO896" s="6" t="n"/>
    </row>
    <row r="897" ht="12.75" customHeight="1" s="11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  <c r="BL897" s="6" t="n"/>
      <c r="BM897" s="6" t="n"/>
      <c r="BN897" s="6" t="n"/>
      <c r="BO897" s="6" t="n"/>
    </row>
    <row r="898" ht="12.75" customHeight="1" s="11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  <c r="BL898" s="6" t="n"/>
      <c r="BM898" s="6" t="n"/>
      <c r="BN898" s="6" t="n"/>
      <c r="BO898" s="6" t="n"/>
    </row>
    <row r="899" ht="12.75" customHeight="1" s="11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  <c r="BL899" s="6" t="n"/>
      <c r="BM899" s="6" t="n"/>
      <c r="BN899" s="6" t="n"/>
      <c r="BO899" s="6" t="n"/>
    </row>
    <row r="900" ht="12.75" customHeight="1" s="11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  <c r="BL900" s="6" t="n"/>
      <c r="BM900" s="6" t="n"/>
      <c r="BN900" s="6" t="n"/>
      <c r="BO900" s="6" t="n"/>
    </row>
    <row r="901" ht="12.75" customHeight="1" s="11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  <c r="BL901" s="6" t="n"/>
      <c r="BM901" s="6" t="n"/>
      <c r="BN901" s="6" t="n"/>
      <c r="BO901" s="6" t="n"/>
    </row>
    <row r="902" ht="12.75" customHeight="1" s="11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  <c r="BL902" s="6" t="n"/>
      <c r="BM902" s="6" t="n"/>
      <c r="BN902" s="6" t="n"/>
      <c r="BO902" s="6" t="n"/>
    </row>
    <row r="903" ht="12.75" customHeight="1" s="11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  <c r="BL903" s="6" t="n"/>
      <c r="BM903" s="6" t="n"/>
      <c r="BN903" s="6" t="n"/>
      <c r="BO903" s="6" t="n"/>
    </row>
    <row r="904" ht="12.75" customHeight="1" s="11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  <c r="BL904" s="6" t="n"/>
      <c r="BM904" s="6" t="n"/>
      <c r="BN904" s="6" t="n"/>
      <c r="BO904" s="6" t="n"/>
    </row>
    <row r="905" ht="12.75" customHeight="1" s="11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  <c r="BL905" s="6" t="n"/>
      <c r="BM905" s="6" t="n"/>
      <c r="BN905" s="6" t="n"/>
      <c r="BO905" s="6" t="n"/>
    </row>
    <row r="906" ht="12.75" customHeight="1" s="11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  <c r="BL906" s="6" t="n"/>
      <c r="BM906" s="6" t="n"/>
      <c r="BN906" s="6" t="n"/>
      <c r="BO906" s="6" t="n"/>
    </row>
    <row r="907" ht="12.75" customHeight="1" s="11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  <c r="BL907" s="6" t="n"/>
      <c r="BM907" s="6" t="n"/>
      <c r="BN907" s="6" t="n"/>
      <c r="BO907" s="6" t="n"/>
    </row>
    <row r="908" ht="12.75" customHeight="1" s="11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  <c r="BL908" s="6" t="n"/>
      <c r="BM908" s="6" t="n"/>
      <c r="BN908" s="6" t="n"/>
      <c r="BO908" s="6" t="n"/>
    </row>
    <row r="909" ht="12.75" customHeight="1" s="11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  <c r="BL909" s="6" t="n"/>
      <c r="BM909" s="6" t="n"/>
      <c r="BN909" s="6" t="n"/>
      <c r="BO909" s="6" t="n"/>
    </row>
    <row r="910" ht="12.75" customHeight="1" s="11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  <c r="BL910" s="6" t="n"/>
      <c r="BM910" s="6" t="n"/>
      <c r="BN910" s="6" t="n"/>
      <c r="BO910" s="6" t="n"/>
    </row>
    <row r="911" ht="12.75" customHeight="1" s="1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  <c r="BL911" s="6" t="n"/>
      <c r="BM911" s="6" t="n"/>
      <c r="BN911" s="6" t="n"/>
      <c r="BO911" s="6" t="n"/>
    </row>
    <row r="912" ht="12.75" customHeight="1" s="11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  <c r="BL912" s="6" t="n"/>
      <c r="BM912" s="6" t="n"/>
      <c r="BN912" s="6" t="n"/>
      <c r="BO912" s="6" t="n"/>
    </row>
    <row r="913" ht="12.75" customHeight="1" s="11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  <c r="BL913" s="6" t="n"/>
      <c r="BM913" s="6" t="n"/>
      <c r="BN913" s="6" t="n"/>
      <c r="BO913" s="6" t="n"/>
    </row>
    <row r="914" ht="12.75" customHeight="1" s="11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  <c r="BL914" s="6" t="n"/>
      <c r="BM914" s="6" t="n"/>
      <c r="BN914" s="6" t="n"/>
      <c r="BO914" s="6" t="n"/>
    </row>
    <row r="915" ht="12.75" customHeight="1" s="11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  <c r="BL915" s="6" t="n"/>
      <c r="BM915" s="6" t="n"/>
      <c r="BN915" s="6" t="n"/>
      <c r="BO915" s="6" t="n"/>
    </row>
    <row r="916" ht="12.75" customHeight="1" s="11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  <c r="BL916" s="6" t="n"/>
      <c r="BM916" s="6" t="n"/>
      <c r="BN916" s="6" t="n"/>
      <c r="BO916" s="6" t="n"/>
    </row>
    <row r="917" ht="12.75" customHeight="1" s="11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  <c r="BL917" s="6" t="n"/>
      <c r="BM917" s="6" t="n"/>
      <c r="BN917" s="6" t="n"/>
      <c r="BO917" s="6" t="n"/>
    </row>
    <row r="918" ht="12.75" customHeight="1" s="11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  <c r="BL918" s="6" t="n"/>
      <c r="BM918" s="6" t="n"/>
      <c r="BN918" s="6" t="n"/>
      <c r="BO918" s="6" t="n"/>
    </row>
    <row r="919" ht="12.75" customHeight="1" s="11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  <c r="BL919" s="6" t="n"/>
      <c r="BM919" s="6" t="n"/>
      <c r="BN919" s="6" t="n"/>
      <c r="BO919" s="6" t="n"/>
    </row>
    <row r="920" ht="12.75" customHeight="1" s="11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  <c r="BL920" s="6" t="n"/>
      <c r="BM920" s="6" t="n"/>
      <c r="BN920" s="6" t="n"/>
      <c r="BO920" s="6" t="n"/>
    </row>
    <row r="921" ht="12.75" customHeight="1" s="11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  <c r="BL921" s="6" t="n"/>
      <c r="BM921" s="6" t="n"/>
      <c r="BN921" s="6" t="n"/>
      <c r="BO921" s="6" t="n"/>
    </row>
    <row r="922" ht="12.75" customHeight="1" s="11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  <c r="BL922" s="6" t="n"/>
      <c r="BM922" s="6" t="n"/>
      <c r="BN922" s="6" t="n"/>
      <c r="BO922" s="6" t="n"/>
    </row>
    <row r="923" ht="12.75" customHeight="1" s="11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  <c r="BL923" s="6" t="n"/>
      <c r="BM923" s="6" t="n"/>
      <c r="BN923" s="6" t="n"/>
      <c r="BO923" s="6" t="n"/>
    </row>
    <row r="924" ht="12.75" customHeight="1" s="11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  <c r="BL924" s="6" t="n"/>
      <c r="BM924" s="6" t="n"/>
      <c r="BN924" s="6" t="n"/>
      <c r="BO924" s="6" t="n"/>
    </row>
    <row r="925" ht="12.75" customHeight="1" s="11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  <c r="BL925" s="6" t="n"/>
      <c r="BM925" s="6" t="n"/>
      <c r="BN925" s="6" t="n"/>
      <c r="BO925" s="6" t="n"/>
    </row>
    <row r="926" ht="12.75" customHeight="1" s="11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  <c r="BL926" s="6" t="n"/>
      <c r="BM926" s="6" t="n"/>
      <c r="BN926" s="6" t="n"/>
      <c r="BO926" s="6" t="n"/>
    </row>
    <row r="927" ht="12.75" customHeight="1" s="11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  <c r="BL927" s="6" t="n"/>
      <c r="BM927" s="6" t="n"/>
      <c r="BN927" s="6" t="n"/>
      <c r="BO927" s="6" t="n"/>
    </row>
    <row r="928" ht="12.75" customHeight="1" s="11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  <c r="BL928" s="6" t="n"/>
      <c r="BM928" s="6" t="n"/>
      <c r="BN928" s="6" t="n"/>
      <c r="BO928" s="6" t="n"/>
    </row>
    <row r="929" ht="12.75" customHeight="1" s="11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  <c r="BL929" s="6" t="n"/>
      <c r="BM929" s="6" t="n"/>
      <c r="BN929" s="6" t="n"/>
      <c r="BO929" s="6" t="n"/>
    </row>
    <row r="930" ht="12.75" customHeight="1" s="11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  <c r="BL930" s="6" t="n"/>
      <c r="BM930" s="6" t="n"/>
      <c r="BN930" s="6" t="n"/>
      <c r="BO930" s="6" t="n"/>
    </row>
    <row r="931" ht="12.75" customHeight="1" s="11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  <c r="BL931" s="6" t="n"/>
      <c r="BM931" s="6" t="n"/>
      <c r="BN931" s="6" t="n"/>
      <c r="BO931" s="6" t="n"/>
    </row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35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</row>
    <row r="105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</row>
    <row r="117" ht="12.75" customHeight="1" s="1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</row>
    <row r="118" ht="12.75" customHeight="1" s="1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</row>
    <row r="119" ht="12.75" customHeight="1" s="1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</row>
    <row r="120" ht="12.75" customHeight="1" s="1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</row>
    <row r="121" ht="12.75" customHeight="1" s="1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</row>
    <row r="122" ht="12.75" customHeight="1" s="1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</row>
    <row r="123" ht="12.75" customHeight="1" s="1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</row>
    <row r="124" ht="12.75" customHeight="1" s="1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</row>
    <row r="125" ht="12.75" customHeight="1" s="1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</row>
    <row r="126" ht="12.75" customHeight="1" s="1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</row>
    <row r="127" ht="12.75" customHeight="1" s="1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</row>
    <row r="128" ht="12.75" customHeight="1" s="1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</row>
    <row r="129" ht="12.75" customHeight="1" s="1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</row>
    <row r="130" ht="12.75" customHeight="1" s="1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</row>
    <row r="131" ht="12.75" customHeight="1" s="1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</row>
    <row r="132" ht="12.75" customHeight="1" s="1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</row>
    <row r="133" ht="12.75" customHeight="1" s="1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</row>
    <row r="134" ht="12.75" customHeight="1" s="1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</row>
    <row r="135" ht="12.75" customHeight="1" s="1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</row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319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</row>
    <row r="105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</row>
    <row r="117" ht="12.75" customHeight="1" s="1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</row>
    <row r="118" ht="12.75" customHeight="1" s="1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</row>
    <row r="119" ht="12.75" customHeight="1" s="1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</row>
    <row r="120" ht="12.75" customHeight="1" s="1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</row>
    <row r="121" ht="12.75" customHeight="1" s="1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</row>
    <row r="122" ht="12.75" customHeight="1" s="1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</row>
    <row r="123" ht="12.75" customHeight="1" s="1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</row>
    <row r="124" ht="12.75" customHeight="1" s="1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</row>
    <row r="125" ht="12.75" customHeight="1" s="1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</row>
    <row r="126" ht="12.75" customHeight="1" s="1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</row>
    <row r="127" ht="12.75" customHeight="1" s="1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</row>
    <row r="128" ht="12.75" customHeight="1" s="1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</row>
    <row r="129" ht="12.75" customHeight="1" s="1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</row>
    <row r="130" ht="12.75" customHeight="1" s="1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</row>
    <row r="131" ht="12.75" customHeight="1" s="1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</row>
    <row r="132" ht="12.75" customHeight="1" s="1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</row>
    <row r="133" ht="12.75" customHeight="1" s="1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</row>
    <row r="134" ht="12.75" customHeight="1" s="1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</row>
    <row r="135" ht="12.75" customHeight="1" s="1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</row>
    <row r="136" ht="12.75" customHeight="1" s="11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</row>
    <row r="137" ht="12.75" customHeight="1" s="11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</row>
    <row r="138" ht="12.75" customHeight="1" s="11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</row>
    <row r="139" ht="12.75" customHeight="1" s="11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</row>
    <row r="140" ht="12.75" customHeight="1" s="11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</row>
    <row r="141" ht="12.75" customHeight="1" s="11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</row>
    <row r="142" ht="12.75" customHeight="1" s="11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</row>
    <row r="143" ht="12.75" customHeight="1" s="11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</row>
    <row r="144" ht="12.75" customHeight="1" s="11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</row>
    <row r="145" ht="12.75" customHeight="1" s="11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</row>
    <row r="146" ht="12.75" customHeight="1" s="11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</row>
    <row r="147" ht="12.75" customHeight="1" s="11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</row>
    <row r="148" ht="12.75" customHeight="1" s="11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</row>
    <row r="149" ht="12.75" customHeight="1" s="11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</row>
    <row r="150" ht="12.75" customHeight="1" s="11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</row>
    <row r="151" ht="12.75" customHeight="1" s="11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</row>
    <row r="152" ht="12.75" customHeight="1" s="11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</row>
    <row r="153" ht="12.75" customHeight="1" s="11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</row>
    <row r="154" ht="12.75" customHeight="1" s="11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</row>
    <row r="155" ht="12.75" customHeight="1" s="11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</row>
    <row r="156" ht="12.75" customHeight="1" s="11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</row>
    <row r="157" ht="12.75" customHeight="1" s="11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</row>
    <row r="158" ht="12.75" customHeight="1" s="11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</row>
    <row r="159" ht="12.75" customHeight="1" s="11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</row>
    <row r="160" ht="12.75" customHeight="1" s="11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</row>
    <row r="161" ht="12.75" customHeight="1" s="11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</row>
    <row r="162" ht="12.75" customHeight="1" s="11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</row>
    <row r="163" ht="12.75" customHeight="1" s="11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</row>
    <row r="164" ht="12.75" customHeight="1" s="11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</row>
    <row r="165" ht="12.75" customHeight="1" s="11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</row>
    <row r="166" ht="12.75" customHeight="1" s="11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</row>
    <row r="167" ht="12.75" customHeight="1" s="11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</row>
    <row r="168" ht="12.75" customHeight="1" s="11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</row>
    <row r="169" ht="12.75" customHeight="1" s="11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</row>
    <row r="170" ht="12.75" customHeight="1" s="11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</row>
    <row r="171" ht="12.75" customHeight="1" s="11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</row>
    <row r="172" ht="12.75" customHeight="1" s="11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</row>
    <row r="173" ht="12.75" customHeight="1" s="11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</row>
    <row r="174" ht="12.75" customHeight="1" s="11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</row>
    <row r="175" ht="12.75" customHeight="1" s="11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</row>
    <row r="176" ht="12.75" customHeight="1" s="11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</row>
    <row r="177" ht="12.75" customHeight="1" s="11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</row>
    <row r="178" ht="12.75" customHeight="1" s="11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</row>
    <row r="179" ht="12.75" customHeight="1" s="11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</row>
    <row r="180" ht="12.75" customHeight="1" s="11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</row>
    <row r="181" ht="12.75" customHeight="1" s="11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</row>
    <row r="182" ht="12.75" customHeight="1" s="11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</row>
    <row r="183" ht="12.75" customHeight="1" s="11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</row>
    <row r="184" ht="12.75" customHeight="1" s="11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</row>
    <row r="185" ht="12.75" customHeight="1" s="11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</row>
    <row r="186" ht="12.75" customHeight="1" s="11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</row>
    <row r="187" ht="12.75" customHeight="1" s="11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</row>
    <row r="188" ht="12.75" customHeight="1" s="11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</row>
    <row r="189" ht="12.75" customHeight="1" s="11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</row>
    <row r="190" ht="12.75" customHeight="1" s="11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</row>
    <row r="191" ht="12.75" customHeight="1" s="11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</row>
    <row r="192" ht="12.75" customHeight="1" s="11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</row>
    <row r="193" ht="12.75" customHeight="1" s="11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</row>
    <row r="194" ht="12.75" customHeight="1" s="11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</row>
    <row r="195" ht="12.75" customHeight="1" s="11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</row>
    <row r="196" ht="12.75" customHeight="1" s="11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</row>
    <row r="197" ht="12.75" customHeight="1" s="11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</row>
    <row r="198" ht="12.75" customHeight="1" s="11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</row>
    <row r="199" ht="12.75" customHeight="1" s="11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</row>
    <row r="200" ht="12.75" customHeight="1" s="11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</row>
    <row r="201" ht="12.75" customHeight="1" s="11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</row>
    <row r="202" ht="12.75" customHeight="1" s="11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</row>
    <row r="203" ht="12.75" customHeight="1" s="11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</row>
    <row r="204" ht="12.75" customHeight="1" s="11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</row>
    <row r="205" ht="12.75" customHeight="1" s="11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</row>
    <row r="206" ht="12.75" customHeight="1" s="11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</row>
    <row r="207" ht="12.75" customHeight="1" s="11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</row>
    <row r="208" ht="12.75" customHeight="1" s="11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</row>
    <row r="209" ht="12.75" customHeight="1" s="11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</row>
    <row r="210" ht="12.75" customHeight="1" s="11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</row>
    <row r="211" ht="12.75" customHeight="1" s="1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</row>
    <row r="212" ht="12.75" customHeight="1" s="11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</row>
    <row r="213" ht="12.75" customHeight="1" s="11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</row>
    <row r="214" ht="12.75" customHeight="1" s="11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</row>
    <row r="215" ht="12.75" customHeight="1" s="11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</row>
    <row r="216" ht="12.75" customHeight="1" s="11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</row>
    <row r="217" ht="12.75" customHeight="1" s="11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</row>
    <row r="218" ht="12.75" customHeight="1" s="11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</row>
    <row r="219" ht="12.75" customHeight="1" s="11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</row>
    <row r="220" ht="12.75" customHeight="1" s="11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</row>
    <row r="221" ht="12.75" customHeight="1" s="11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</row>
    <row r="222" ht="12.75" customHeight="1" s="11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</row>
    <row r="223" ht="12.75" customHeight="1" s="11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</row>
    <row r="224" ht="12.75" customHeight="1" s="11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</row>
    <row r="225" ht="12.75" customHeight="1" s="11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</row>
    <row r="226" ht="12.75" customHeight="1" s="11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</row>
    <row r="227" ht="12.75" customHeight="1" s="11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</row>
    <row r="228" ht="12.75" customHeight="1" s="11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</row>
    <row r="229" ht="12.75" customHeight="1" s="11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</row>
    <row r="230" ht="12.75" customHeight="1" s="11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</row>
    <row r="231" ht="12.75" customHeight="1" s="11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</row>
    <row r="232" ht="12.75" customHeight="1" s="11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</row>
    <row r="233" ht="12.75" customHeight="1" s="11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</row>
    <row r="234" ht="12.75" customHeight="1" s="11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</row>
    <row r="235" ht="12.75" customHeight="1" s="11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</row>
    <row r="236" ht="12.75" customHeight="1" s="11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</row>
    <row r="237" ht="12.75" customHeight="1" s="11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</row>
    <row r="238" ht="12.75" customHeight="1" s="11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</row>
    <row r="239" ht="12.75" customHeight="1" s="11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</row>
    <row r="240" ht="12.75" customHeight="1" s="11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</row>
    <row r="241" ht="12.75" customHeight="1" s="11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</row>
    <row r="242" ht="12.75" customHeight="1" s="11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</row>
    <row r="243" ht="12.75" customHeight="1" s="11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</row>
    <row r="244" ht="12.75" customHeight="1" s="11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</row>
    <row r="245" ht="12.75" customHeight="1" s="11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</row>
    <row r="246" ht="12.75" customHeight="1" s="11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</row>
    <row r="247" ht="12.75" customHeight="1" s="11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</row>
    <row r="248" ht="12.75" customHeight="1" s="11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</row>
    <row r="249" ht="12.75" customHeight="1" s="11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</row>
    <row r="250" ht="12.75" customHeight="1" s="11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</row>
    <row r="251" ht="12.75" customHeight="1" s="11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</row>
    <row r="252" ht="12.75" customHeight="1" s="11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</row>
    <row r="253" ht="12.75" customHeight="1" s="11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</row>
    <row r="254" ht="12.75" customHeight="1" s="11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</row>
    <row r="255" ht="12.75" customHeight="1" s="11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</row>
    <row r="256" ht="12.75" customHeight="1" s="11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</row>
    <row r="257" ht="12.75" customHeight="1" s="11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</row>
    <row r="258" ht="12.75" customHeight="1" s="11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</row>
    <row r="259" ht="12.75" customHeight="1" s="11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</row>
    <row r="260" ht="12.75" customHeight="1" s="11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</row>
    <row r="261" ht="12.75" customHeight="1" s="11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</row>
    <row r="262" ht="12.75" customHeight="1" s="11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</row>
    <row r="263" ht="12.75" customHeight="1" s="11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</row>
    <row r="264" ht="12.75" customHeight="1" s="11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</row>
    <row r="265" ht="12.75" customHeight="1" s="11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</row>
    <row r="266" ht="12.75" customHeight="1" s="11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</row>
    <row r="267" ht="12.75" customHeight="1" s="11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</row>
    <row r="268" ht="12.75" customHeight="1" s="11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</row>
    <row r="269" ht="12.75" customHeight="1" s="11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</row>
    <row r="270" ht="12.75" customHeight="1" s="11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</row>
    <row r="271" ht="12.75" customHeight="1" s="11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</row>
    <row r="272" ht="12.75" customHeight="1" s="11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</row>
    <row r="273" ht="12.75" customHeight="1" s="11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</row>
    <row r="274" ht="12.75" customHeight="1" s="11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</row>
    <row r="275" ht="12.75" customHeight="1" s="11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</row>
    <row r="276" ht="12.75" customHeight="1" s="11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</row>
    <row r="277" ht="12.75" customHeight="1" s="11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</row>
    <row r="278" ht="12.75" customHeight="1" s="11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</row>
    <row r="279" ht="12.75" customHeight="1" s="11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</row>
    <row r="280" ht="12.75" customHeight="1" s="11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</row>
    <row r="281" ht="12.75" customHeight="1" s="11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</row>
    <row r="282" ht="12.75" customHeight="1" s="11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</row>
    <row r="283" ht="12.75" customHeight="1" s="11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</row>
    <row r="284" ht="12.75" customHeight="1" s="11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</row>
    <row r="285" ht="12.75" customHeight="1" s="11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</row>
    <row r="286" ht="12.75" customHeight="1" s="11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</row>
    <row r="287" ht="12.75" customHeight="1" s="11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</row>
    <row r="288" ht="12.75" customHeight="1" s="11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</row>
    <row r="289" ht="12.75" customHeight="1" s="11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</row>
    <row r="290" ht="12.75" customHeight="1" s="11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</row>
    <row r="291" ht="12.75" customHeight="1" s="11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</row>
    <row r="292" ht="12.75" customHeight="1" s="11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</row>
    <row r="293" ht="12.75" customHeight="1" s="11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</row>
    <row r="294" ht="12.75" customHeight="1" s="11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</row>
    <row r="295" ht="12.75" customHeight="1" s="11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</row>
    <row r="296" ht="12.75" customHeight="1" s="11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</row>
    <row r="297" ht="12.75" customHeight="1" s="11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</row>
    <row r="298" ht="12.75" customHeight="1" s="11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</row>
    <row r="299" ht="12.75" customHeight="1" s="11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</row>
    <row r="300" ht="12.75" customHeight="1" s="11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</row>
    <row r="301" ht="12.75" customHeight="1" s="11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</row>
    <row r="302" ht="12.75" customHeight="1" s="11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</row>
    <row r="303" ht="12.75" customHeight="1" s="11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</row>
    <row r="304" ht="12.75" customHeight="1" s="11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</row>
    <row r="305" ht="12.75" customHeight="1" s="11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</row>
    <row r="306" ht="12.75" customHeight="1" s="11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6" t="n"/>
      <c r="BM306" s="6" t="n"/>
      <c r="BN306" s="6" t="n"/>
      <c r="BO306" s="6" t="n"/>
    </row>
    <row r="307" ht="12.75" customHeight="1" s="11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</row>
    <row r="308" ht="12.75" customHeight="1" s="11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</row>
    <row r="309" ht="12.75" customHeight="1" s="11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</row>
    <row r="310" ht="12.75" customHeight="1" s="11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</row>
    <row r="311" ht="12.75" customHeight="1" s="1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</row>
    <row r="312" ht="12.75" customHeight="1" s="11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</row>
    <row r="313" ht="12.75" customHeight="1" s="11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</row>
    <row r="314" ht="12.75" customHeight="1" s="11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</row>
    <row r="315" ht="12.75" customHeight="1" s="11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</row>
    <row r="316" ht="12.75" customHeight="1" s="11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</row>
    <row r="317" ht="12.75" customHeight="1" s="11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</row>
    <row r="318" ht="12.75" customHeight="1" s="11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  <c r="BL318" s="6" t="n"/>
      <c r="BM318" s="6" t="n"/>
      <c r="BN318" s="6" t="n"/>
      <c r="BO318" s="6" t="n"/>
    </row>
    <row r="319" ht="12.75" customHeight="1" s="11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</row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1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/>
    <row r="102" ht="12.75" customHeight="1" s="111"/>
    <row r="103" ht="12.75" customHeight="1" s="111"/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103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99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/>
    <row r="101" ht="12.75" customHeight="1" s="111"/>
    <row r="102" ht="12.75" customHeight="1" s="111"/>
    <row r="103" ht="12.75" customHeight="1" s="111"/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1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/>
    <row r="102" ht="12.75" customHeight="1" s="111"/>
    <row r="103" ht="12.75" customHeight="1" s="111"/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1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n"/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03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/>
    <row r="102" ht="12.75" customHeight="1" s="111"/>
    <row r="103" ht="12.75" customHeight="1" s="111"/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116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inlineStr">
        <is>
          <t xml:space="preserve"> 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inlineStr">
        <is>
          <t xml:space="preserve"> </t>
        </is>
      </c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</row>
    <row r="102" ht="12.75" customHeight="1" s="1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</row>
    <row r="103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</row>
    <row r="104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</row>
    <row r="105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</row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O1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inlineStr">
        <is>
          <t xml:space="preserve">  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inlineStr">
        <is>
          <t xml:space="preserve"> </t>
        </is>
      </c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19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/>
    <row r="102" ht="12.75" customHeight="1" s="111"/>
    <row r="103" ht="12.75" customHeight="1" s="111"/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O1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inlineStr">
        <is>
          <t xml:space="preserve"> 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inlineStr">
        <is>
          <t xml:space="preserve"> </t>
        </is>
      </c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40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36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40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36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40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36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40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36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63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40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40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/>
    <row r="102" ht="12.75" customHeight="1" s="111"/>
    <row r="103" ht="12.75" customHeight="1" s="111"/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O1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1" min="1" max="20"/>
    <col width="5.25" customWidth="1" style="111" min="21" max="33"/>
    <col width="6.25" customWidth="1" style="111" min="34" max="34"/>
    <col width="8.75" customWidth="1" style="111" min="35" max="35"/>
    <col width="5.25" customWidth="1" style="111" min="36" max="51"/>
    <col width="5.38" customWidth="1" style="111" min="52" max="67"/>
  </cols>
  <sheetData>
    <row r="1" ht="18.75" customHeight="1" s="111">
      <c r="A1" s="112" t="inlineStr">
        <is>
          <t xml:space="preserve"> 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4" t="n"/>
      <c r="U1" s="115">
        <f>IF($A$1="","",$A$1)</f>
        <v/>
      </c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4" t="n"/>
      <c r="AJ1" s="115">
        <f>IF($A$1="","",$A$1)</f>
        <v/>
      </c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4" t="n"/>
      <c r="AZ1" s="115">
        <f>IF($A$1="","",$A$1)</f>
        <v/>
      </c>
      <c r="BA1" s="113" t="n"/>
      <c r="BB1" s="113" t="n"/>
      <c r="BC1" s="113" t="n"/>
      <c r="BD1" s="113" t="n"/>
      <c r="BE1" s="113" t="n"/>
      <c r="BF1" s="113" t="n"/>
      <c r="BG1" s="113" t="n"/>
      <c r="BH1" s="113" t="n"/>
      <c r="BI1" s="113" t="n"/>
      <c r="BJ1" s="113" t="n"/>
      <c r="BK1" s="113" t="n"/>
      <c r="BL1" s="113" t="n"/>
      <c r="BM1" s="113" t="n"/>
      <c r="BN1" s="113" t="n"/>
      <c r="BO1" s="114" t="n"/>
    </row>
    <row r="2" ht="13.5" customHeight="1" s="111">
      <c r="A2" s="116" t="n"/>
      <c r="B2" s="113" t="n"/>
      <c r="C2" s="113" t="n"/>
      <c r="D2" s="11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8" t="inlineStr">
        <is>
          <t>---</t>
        </is>
      </c>
      <c r="T2" s="7" t="n"/>
      <c r="U2" s="9" t="n"/>
      <c r="V2" s="6" t="n"/>
      <c r="W2" s="6" t="n"/>
      <c r="X2" s="6" t="n"/>
      <c r="Y2" s="6" t="n"/>
      <c r="Z2" s="6" t="n"/>
      <c r="AA2" s="6" t="n"/>
      <c r="AB2" s="10" t="n"/>
      <c r="AC2" s="6" t="n"/>
      <c r="AD2" s="6" t="n"/>
      <c r="AE2" s="6" t="n"/>
      <c r="AF2" s="6" t="n"/>
      <c r="AG2" s="6" t="n"/>
      <c r="AH2" s="6" t="n"/>
      <c r="AI2" s="11" t="n"/>
      <c r="AJ2" s="9" t="n"/>
      <c r="AK2" s="6" t="n"/>
      <c r="AL2" s="6" t="n"/>
      <c r="AM2" s="6" t="n"/>
      <c r="AN2" s="6" t="n"/>
      <c r="AO2" s="6" t="n"/>
      <c r="AP2" s="6" t="n"/>
      <c r="AQ2" s="10" t="n"/>
      <c r="AR2" s="6" t="n"/>
      <c r="AS2" s="6" t="n"/>
      <c r="AT2" s="6" t="n"/>
      <c r="AU2" s="6" t="n"/>
      <c r="AV2" s="6" t="n"/>
      <c r="AW2" s="6" t="n"/>
      <c r="AX2" s="6" t="n"/>
      <c r="AY2" s="11" t="n"/>
      <c r="AZ2" s="9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11" t="n"/>
    </row>
    <row r="3" ht="16.5" customHeight="1" s="111">
      <c r="A3" s="9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1" t="n"/>
      <c r="U3" s="9" t="n"/>
      <c r="V3" s="6" t="n"/>
      <c r="W3" s="117" t="inlineStr">
        <is>
          <t>RIASSUNTO SCALARE DEI PUNTI FATTI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4" t="n"/>
      <c r="AH3" s="6" t="n"/>
      <c r="AI3" s="11" t="n"/>
      <c r="AJ3" s="9" t="n"/>
      <c r="AK3" s="6" t="n"/>
      <c r="AL3" s="117" t="inlineStr">
        <is>
          <t>RIASSUNTO SCALARE DEI PUNTI SUBITI</t>
        </is>
      </c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4" t="n"/>
      <c r="AX3" s="6" t="n"/>
      <c r="AY3" s="11" t="n"/>
      <c r="AZ3" s="9" t="n"/>
      <c r="BA3" s="6" t="n"/>
      <c r="BB3" s="117" t="inlineStr">
        <is>
          <t>TOTALI E RELATIVI GRAFICI</t>
        </is>
      </c>
      <c r="BC3" s="113" t="n"/>
      <c r="BD3" s="113" t="n"/>
      <c r="BE3" s="113" t="n"/>
      <c r="BF3" s="113" t="n"/>
      <c r="BG3" s="113" t="n"/>
      <c r="BH3" s="113" t="n"/>
      <c r="BI3" s="113" t="n"/>
      <c r="BJ3" s="113" t="n"/>
      <c r="BK3" s="113" t="n"/>
      <c r="BL3" s="113" t="n"/>
      <c r="BM3" s="114" t="n"/>
      <c r="BN3" s="6" t="n"/>
      <c r="BO3" s="11" t="n"/>
    </row>
    <row r="4" ht="12.7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1" t="n"/>
      <c r="U4" s="9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11" t="n"/>
      <c r="AJ4" s="9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11" t="n"/>
      <c r="AZ4" s="9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11" t="n"/>
    </row>
    <row r="5" ht="13.5" customHeight="1" s="111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1" t="n"/>
      <c r="U5" s="9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11" t="n"/>
      <c r="AJ5" s="9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11" t="n"/>
      <c r="AZ5" s="9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1" t="n"/>
    </row>
    <row r="6" ht="10.5" customHeight="1" s="111">
      <c r="A6" s="19" t="inlineStr">
        <is>
          <t>SET I</t>
        </is>
      </c>
      <c r="B6" s="1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5" t="n"/>
      <c r="U6" s="16" t="n"/>
      <c r="V6" s="14" t="n"/>
      <c r="W6" s="14" t="n"/>
      <c r="X6" s="14" t="n"/>
      <c r="Y6" s="14" t="n"/>
      <c r="Z6" s="14" t="n"/>
      <c r="AA6" s="14" t="n"/>
      <c r="AB6" s="17" t="n"/>
      <c r="AC6" s="14" t="n"/>
      <c r="AD6" s="14" t="n"/>
      <c r="AE6" s="14" t="n"/>
      <c r="AF6" s="14" t="n"/>
      <c r="AG6" s="14" t="n"/>
      <c r="AH6" s="14" t="n"/>
      <c r="AI6" s="15" t="n"/>
      <c r="AJ6" s="9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11" t="n"/>
      <c r="AZ6" s="16" t="n"/>
      <c r="BA6" s="18" t="inlineStr">
        <is>
          <t>TPF</t>
        </is>
      </c>
      <c r="BB6" s="18">
        <f>AA15+AA27+AA39+AA51+AA63</f>
        <v/>
      </c>
      <c r="BC6" s="14" t="n"/>
      <c r="BD6" s="29" t="inlineStr">
        <is>
          <t>FATTI</t>
        </is>
      </c>
      <c r="BE6" s="113" t="n"/>
      <c r="BF6" s="114" t="n"/>
      <c r="BG6" s="14" t="n"/>
      <c r="BH6" s="14" t="n"/>
      <c r="BI6" s="14" t="n"/>
      <c r="BJ6" s="18" t="inlineStr">
        <is>
          <t>TPS</t>
        </is>
      </c>
      <c r="BK6" s="18">
        <f>AP15+AP27+AP39+AP51+AP63</f>
        <v/>
      </c>
      <c r="BL6" s="14" t="n"/>
      <c r="BM6" s="29" t="inlineStr">
        <is>
          <t>SUBITI</t>
        </is>
      </c>
      <c r="BN6" s="113" t="n"/>
      <c r="BO6" s="114" t="n"/>
    </row>
    <row r="7" ht="10.5" customHeight="1" s="111">
      <c r="A7" s="16" t="n"/>
      <c r="B7" s="14" t="n"/>
      <c r="C7" s="14" t="n"/>
      <c r="D7" s="118" t="n"/>
      <c r="J7" s="14" t="n"/>
      <c r="K7" s="14" t="n"/>
      <c r="L7" s="118" t="inlineStr">
        <is>
          <t xml:space="preserve"> </t>
        </is>
      </c>
      <c r="R7" s="14" t="n"/>
      <c r="S7" s="14" t="n"/>
      <c r="T7" s="15" t="n"/>
      <c r="U7" s="23">
        <f>IF($B8="","",$B8)</f>
        <v/>
      </c>
      <c r="V7" s="24">
        <f>IF(U7="","",IF(U7=1,6,U7-1))</f>
        <v/>
      </c>
      <c r="W7" s="25">
        <f>IF(V7="","",IF(V7=1,6,V7-1))</f>
        <v/>
      </c>
      <c r="X7" s="25">
        <f>IF(W7="","",IF(W7=1,6,W7-1))</f>
        <v/>
      </c>
      <c r="Y7" s="25">
        <f>IF(X7="","",IF(X7=1,6,X7-1))</f>
        <v/>
      </c>
      <c r="Z7" s="26">
        <f>IF(Y7="","",IF(Y7=1,6,Y7-1))</f>
        <v/>
      </c>
      <c r="AA7" s="27" t="inlineStr">
        <is>
          <t>P</t>
        </is>
      </c>
      <c r="AB7" s="30" t="inlineStr">
        <is>
          <t>SET I</t>
        </is>
      </c>
      <c r="AC7" s="114" t="n"/>
      <c r="AD7" s="29">
        <f>IF(D9="","",MAX(D9:I14))</f>
        <v/>
      </c>
      <c r="AE7" s="14" t="n"/>
      <c r="AF7" s="14" t="n"/>
      <c r="AG7" s="14" t="n"/>
      <c r="AH7" s="14" t="n"/>
      <c r="AI7" s="15" t="n"/>
      <c r="AJ7" s="23">
        <f>IF($B8="","",$B8)</f>
        <v/>
      </c>
      <c r="AK7" s="24">
        <f>IF(AJ7="","",IF(AJ7=1,6,AJ7-1))</f>
        <v/>
      </c>
      <c r="AL7" s="25">
        <f>IF(AK7="","",IF(AK7=1,6,AK7-1))</f>
        <v/>
      </c>
      <c r="AM7" s="25">
        <f>IF(AL7="","",IF(AL7=1,6,AL7-1))</f>
        <v/>
      </c>
      <c r="AN7" s="25">
        <f>IF(AM7="","",IF(AM7=1,6,AM7-1))</f>
        <v/>
      </c>
      <c r="AO7" s="26">
        <f>IF(AN7="","",IF(AN7=1,6,AN7-1))</f>
        <v/>
      </c>
      <c r="AP7" s="27" t="inlineStr">
        <is>
          <t>P</t>
        </is>
      </c>
      <c r="AQ7" s="30" t="inlineStr">
        <is>
          <t>SET I</t>
        </is>
      </c>
      <c r="AR7" s="114" t="n"/>
      <c r="AS7" s="29">
        <f>IF(L9="","",MAX(L9:Q14))</f>
        <v/>
      </c>
      <c r="AT7" s="14" t="n"/>
      <c r="AU7" s="14" t="n"/>
      <c r="AV7" s="14" t="n"/>
      <c r="AW7" s="14" t="n"/>
      <c r="AX7" s="14" t="n"/>
      <c r="AY7" s="15" t="n"/>
      <c r="AZ7" s="27" t="inlineStr">
        <is>
          <t>P</t>
        </is>
      </c>
      <c r="BA7" s="27" t="n">
        <v>1</v>
      </c>
      <c r="BB7" s="27" t="n">
        <v>2</v>
      </c>
      <c r="BC7" s="27" t="n">
        <v>3</v>
      </c>
      <c r="BD7" s="27" t="n">
        <v>4</v>
      </c>
      <c r="BE7" s="27" t="n">
        <v>5</v>
      </c>
      <c r="BF7" s="27" t="n">
        <v>6</v>
      </c>
      <c r="BG7" s="14" t="n"/>
      <c r="BH7" s="14" t="n"/>
      <c r="BI7" s="27" t="inlineStr">
        <is>
          <t>P</t>
        </is>
      </c>
      <c r="BJ7" s="27" t="n">
        <v>1</v>
      </c>
      <c r="BK7" s="27" t="n">
        <v>2</v>
      </c>
      <c r="BL7" s="27" t="n">
        <v>3</v>
      </c>
      <c r="BM7" s="27" t="n">
        <v>4</v>
      </c>
      <c r="BN7" s="27" t="n">
        <v>5</v>
      </c>
      <c r="BO7" s="27" t="n">
        <v>6</v>
      </c>
    </row>
    <row r="8" ht="10.5" customHeight="1" s="111">
      <c r="A8" s="30" t="inlineStr">
        <is>
          <t>P</t>
        </is>
      </c>
      <c r="B8" s="18" t="n"/>
      <c r="C8" s="14" t="n"/>
      <c r="D8" s="31" t="inlineStr">
        <is>
          <t>I</t>
        </is>
      </c>
      <c r="E8" s="31" t="inlineStr">
        <is>
          <t>II</t>
        </is>
      </c>
      <c r="F8" s="31" t="inlineStr">
        <is>
          <t>III</t>
        </is>
      </c>
      <c r="G8" s="31" t="inlineStr">
        <is>
          <t>IV</t>
        </is>
      </c>
      <c r="H8" s="31" t="inlineStr">
        <is>
          <t>V</t>
        </is>
      </c>
      <c r="I8" s="31" t="inlineStr">
        <is>
          <t>VI</t>
        </is>
      </c>
      <c r="J8" s="14" t="n"/>
      <c r="K8" s="14" t="n"/>
      <c r="L8" s="31" t="inlineStr">
        <is>
          <t>I</t>
        </is>
      </c>
      <c r="M8" s="31" t="inlineStr">
        <is>
          <t>II</t>
        </is>
      </c>
      <c r="N8" s="31" t="inlineStr">
        <is>
          <t>III</t>
        </is>
      </c>
      <c r="O8" s="31" t="inlineStr">
        <is>
          <t>IV</t>
        </is>
      </c>
      <c r="P8" s="31" t="inlineStr">
        <is>
          <t>V</t>
        </is>
      </c>
      <c r="Q8" s="31" t="inlineStr">
        <is>
          <t>VI</t>
        </is>
      </c>
      <c r="R8" s="14" t="n"/>
      <c r="S8" s="14" t="n"/>
      <c r="T8" s="15" t="n"/>
      <c r="U8" s="32" t="inlineStr">
        <is>
          <t>I</t>
        </is>
      </c>
      <c r="V8" s="33" t="inlineStr">
        <is>
          <t>II</t>
        </is>
      </c>
      <c r="W8" s="33" t="inlineStr">
        <is>
          <t>III</t>
        </is>
      </c>
      <c r="X8" s="33" t="inlineStr">
        <is>
          <t>IV</t>
        </is>
      </c>
      <c r="Y8" s="34" t="inlineStr">
        <is>
          <t>V</t>
        </is>
      </c>
      <c r="Z8" s="35" t="inlineStr">
        <is>
          <t>VI</t>
        </is>
      </c>
      <c r="AA8" s="18" t="inlineStr">
        <is>
          <t>TR</t>
        </is>
      </c>
      <c r="AB8" s="17" t="n"/>
      <c r="AC8" s="14" t="n"/>
      <c r="AD8" s="14" t="n"/>
      <c r="AE8" s="14" t="n"/>
      <c r="AF8" s="14" t="n"/>
      <c r="AG8" s="14" t="n"/>
      <c r="AH8" s="14" t="n"/>
      <c r="AI8" s="15" t="n"/>
      <c r="AJ8" s="32" t="inlineStr">
        <is>
          <t>I</t>
        </is>
      </c>
      <c r="AK8" s="33" t="inlineStr">
        <is>
          <t>II</t>
        </is>
      </c>
      <c r="AL8" s="33" t="inlineStr">
        <is>
          <t>III</t>
        </is>
      </c>
      <c r="AM8" s="33" t="inlineStr">
        <is>
          <t>IV</t>
        </is>
      </c>
      <c r="AN8" s="34" t="inlineStr">
        <is>
          <t>V</t>
        </is>
      </c>
      <c r="AO8" s="35" t="inlineStr">
        <is>
          <t>VI</t>
        </is>
      </c>
      <c r="AP8" s="18" t="inlineStr">
        <is>
          <t>TR</t>
        </is>
      </c>
      <c r="AQ8" s="17" t="n"/>
      <c r="AR8" s="14" t="n"/>
      <c r="AS8" s="14" t="n"/>
      <c r="AT8" s="14" t="n"/>
      <c r="AU8" s="14" t="n"/>
      <c r="AV8" s="14" t="n"/>
      <c r="AW8" s="14" t="n"/>
      <c r="AX8" s="14" t="n"/>
      <c r="AY8" s="15" t="n"/>
      <c r="AZ8" s="36" t="inlineStr">
        <is>
          <t>TT</t>
        </is>
      </c>
      <c r="BA8" s="37">
        <f>U79</f>
        <v/>
      </c>
      <c r="BB8" s="38">
        <f>V79</f>
        <v/>
      </c>
      <c r="BC8" s="38">
        <f>W79</f>
        <v/>
      </c>
      <c r="BD8" s="38">
        <f>X79</f>
        <v/>
      </c>
      <c r="BE8" s="38">
        <f>Y79</f>
        <v/>
      </c>
      <c r="BF8" s="39">
        <f>Z79</f>
        <v/>
      </c>
      <c r="BG8" s="6" t="n"/>
      <c r="BH8" s="6" t="n"/>
      <c r="BI8" s="40" t="inlineStr">
        <is>
          <t>TT</t>
        </is>
      </c>
      <c r="BJ8" s="37">
        <f>AJ79</f>
        <v/>
      </c>
      <c r="BK8" s="38">
        <f>AK79</f>
        <v/>
      </c>
      <c r="BL8" s="38">
        <f>AL79</f>
        <v/>
      </c>
      <c r="BM8" s="38">
        <f>AM79</f>
        <v/>
      </c>
      <c r="BN8" s="38">
        <f>AN79</f>
        <v/>
      </c>
      <c r="BO8" s="39">
        <f>AO79</f>
        <v/>
      </c>
    </row>
    <row r="9" ht="10.5" customHeight="1" s="111">
      <c r="A9" s="16" t="n"/>
      <c r="B9" s="14" t="n"/>
      <c r="C9" s="14" t="n"/>
      <c r="D9" s="41" t="n"/>
      <c r="E9" s="42" t="n"/>
      <c r="F9" s="42" t="n"/>
      <c r="G9" s="42" t="n"/>
      <c r="H9" s="42" t="n"/>
      <c r="I9" s="43" t="n"/>
      <c r="J9" s="14" t="n"/>
      <c r="K9" s="14" t="n"/>
      <c r="L9" s="41" t="n"/>
      <c r="M9" s="42" t="n"/>
      <c r="N9" s="42" t="n"/>
      <c r="O9" s="42" t="n"/>
      <c r="P9" s="42" t="n"/>
      <c r="Q9" s="43" t="n"/>
      <c r="R9" s="14" t="n"/>
      <c r="S9" s="14" t="n"/>
      <c r="T9" s="15" t="n"/>
      <c r="U9" s="44">
        <f>IF(D9="","",IF(UPPER(D9)="X","",D9))</f>
        <v/>
      </c>
      <c r="V9" s="45">
        <f>IF(E9="","",IF(UPPER(D9)="X",E9-1,E9-D9-1))</f>
        <v/>
      </c>
      <c r="W9" s="46">
        <f>IF(F9="","",F9-E9-1)</f>
        <v/>
      </c>
      <c r="X9" s="46">
        <f>IF(G9="","",G9-F9-1)</f>
        <v/>
      </c>
      <c r="Y9" s="46">
        <f>IF(H9="","",H9-G9-1)</f>
        <v/>
      </c>
      <c r="Z9" s="47">
        <f>IF(I9="","",I9-H9-1)</f>
        <v/>
      </c>
      <c r="AA9" s="48">
        <f>SUM(U9:Z9)</f>
        <v/>
      </c>
      <c r="AB9" s="17" t="n"/>
      <c r="AC9" s="14" t="n"/>
      <c r="AD9" s="14" t="n"/>
      <c r="AE9" s="14" t="n"/>
      <c r="AF9" s="14" t="n"/>
      <c r="AG9" s="14" t="n"/>
      <c r="AH9" s="14" t="n"/>
      <c r="AI9" s="15" t="n"/>
      <c r="AJ9" s="44">
        <f>IF(L9="","",IF(UPPER(L9)="X","",L9))</f>
        <v/>
      </c>
      <c r="AK9" s="45">
        <f>IF(M9="","",IF(UPPER(L9)="X",M9-1,M9-L9-1))</f>
        <v/>
      </c>
      <c r="AL9" s="46">
        <f>IF(N9="","",N9-M9-1)</f>
        <v/>
      </c>
      <c r="AM9" s="46">
        <f>IF(O9="","",O9-N9-1)</f>
        <v/>
      </c>
      <c r="AN9" s="46">
        <f>IF(P9="","",P9-O9-1)</f>
        <v/>
      </c>
      <c r="AO9" s="47">
        <f>IF(Q9="","",Q9-P9-1)</f>
        <v/>
      </c>
      <c r="AP9" s="48">
        <f>SUM(AJ9:AO9)</f>
        <v/>
      </c>
      <c r="AQ9" s="17" t="n"/>
      <c r="AR9" s="14" t="n"/>
      <c r="AS9" s="14" t="n"/>
      <c r="AT9" s="14" t="n"/>
      <c r="AU9" s="14" t="n"/>
      <c r="AV9" s="14" t="n"/>
      <c r="AW9" s="14" t="n"/>
      <c r="AX9" s="14" t="n"/>
      <c r="AY9" s="15" t="n"/>
      <c r="AZ9" s="36" t="inlineStr">
        <is>
          <t>TP</t>
        </is>
      </c>
      <c r="BA9" s="16">
        <f>AB79</f>
        <v/>
      </c>
      <c r="BB9" s="14">
        <f>AC79</f>
        <v/>
      </c>
      <c r="BC9" s="14">
        <f>AD79</f>
        <v/>
      </c>
      <c r="BD9" s="14">
        <f>AE79</f>
        <v/>
      </c>
      <c r="BE9" s="14">
        <f>AF79</f>
        <v/>
      </c>
      <c r="BF9" s="15">
        <f>AG79</f>
        <v/>
      </c>
      <c r="BG9" s="6" t="n"/>
      <c r="BH9" s="6" t="n"/>
      <c r="BI9" s="40" t="inlineStr">
        <is>
          <t>TP</t>
        </is>
      </c>
      <c r="BJ9" s="16">
        <f>AQ79</f>
        <v/>
      </c>
      <c r="BK9" s="14">
        <f>AR79</f>
        <v/>
      </c>
      <c r="BL9" s="14">
        <f>AS79</f>
        <v/>
      </c>
      <c r="BM9" s="14">
        <f>AT79</f>
        <v/>
      </c>
      <c r="BN9" s="14">
        <f>AU79</f>
        <v/>
      </c>
      <c r="BO9" s="15">
        <f>AV79</f>
        <v/>
      </c>
    </row>
    <row r="10" ht="10.5" customHeight="1" s="111">
      <c r="A10" s="16" t="n"/>
      <c r="B10" s="14" t="n"/>
      <c r="C10" s="14" t="n"/>
      <c r="D10" s="52" t="n"/>
      <c r="E10" s="14" t="n"/>
      <c r="F10" s="14" t="n"/>
      <c r="G10" s="14" t="n"/>
      <c r="H10" s="14" t="n"/>
      <c r="I10" s="53" t="n"/>
      <c r="J10" s="14" t="n"/>
      <c r="K10" s="14" t="n"/>
      <c r="L10" s="52" t="n"/>
      <c r="M10" s="14" t="n"/>
      <c r="N10" s="14" t="n"/>
      <c r="O10" s="14" t="n"/>
      <c r="P10" s="14" t="n"/>
      <c r="Q10" s="53" t="n"/>
      <c r="R10" s="14" t="n"/>
      <c r="S10" s="14" t="n"/>
      <c r="T10" s="15" t="n"/>
      <c r="U10" s="49">
        <f>IF(D10="","",D10-I9-1)</f>
        <v/>
      </c>
      <c r="V10" s="51">
        <f>IF(E10="","",E10-D10-1)</f>
        <v/>
      </c>
      <c r="W10" s="51">
        <f>IF(F10="","",F10-E10-1)</f>
        <v/>
      </c>
      <c r="X10" s="51">
        <f>IF(G10="","",G10-F10-1)</f>
        <v/>
      </c>
      <c r="Y10" s="51">
        <f>IF(H10="","",H10-G10-1)</f>
        <v/>
      </c>
      <c r="Z10" s="54">
        <f>IF(I10="","",I10-H10-1)</f>
        <v/>
      </c>
      <c r="AA10" s="55">
        <f>SUM(U10:Z10)</f>
        <v/>
      </c>
      <c r="AB10" s="17" t="n"/>
      <c r="AC10" s="14" t="n"/>
      <c r="AD10" s="14" t="n"/>
      <c r="AE10" s="14" t="n"/>
      <c r="AF10" s="14" t="n"/>
      <c r="AG10" s="14" t="n"/>
      <c r="AH10" s="14" t="n"/>
      <c r="AI10" s="15" t="n"/>
      <c r="AJ10" s="49">
        <f>IF(L10="","",L10-Q9-1)</f>
        <v/>
      </c>
      <c r="AK10" s="51">
        <f>IF(M10="","",M10-L10-1)</f>
        <v/>
      </c>
      <c r="AL10" s="51">
        <f>IF(N10="","",N10-M10-1)</f>
        <v/>
      </c>
      <c r="AM10" s="51">
        <f>IF(O10="","",O10-N10-1)</f>
        <v/>
      </c>
      <c r="AN10" s="51">
        <f>IF(P10="","",P10-O10-1)</f>
        <v/>
      </c>
      <c r="AO10" s="54">
        <f>IF(Q10="","",Q10-P10-1)</f>
        <v/>
      </c>
      <c r="AP10" s="55">
        <f>SUM(AJ10:AO10)</f>
        <v/>
      </c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5" t="n"/>
      <c r="AZ10" s="36" t="inlineStr">
        <is>
          <t>MP</t>
        </is>
      </c>
      <c r="BA10" s="56">
        <f>IF(BA8=0,0,BA9/BA8)</f>
        <v/>
      </c>
      <c r="BB10" s="17">
        <f>IF(BB8=0,0,BB9/BB8)</f>
        <v/>
      </c>
      <c r="BC10" s="17">
        <f>IF(BC8=0,0,BC9/BC8)</f>
        <v/>
      </c>
      <c r="BD10" s="17">
        <f>IF(BD8=0,0,BD9/BD8)</f>
        <v/>
      </c>
      <c r="BE10" s="17">
        <f>IF(BE8=0,0,BE9/BE8)</f>
        <v/>
      </c>
      <c r="BF10" s="57">
        <f>IF(BF8=0,0,BF9/BF8)</f>
        <v/>
      </c>
      <c r="BG10" s="6" t="n"/>
      <c r="BH10" s="6" t="n"/>
      <c r="BI10" s="40" t="inlineStr">
        <is>
          <t>MP</t>
        </is>
      </c>
      <c r="BJ10" s="56">
        <f>IF(BJ8=0,0,BJ9/BJ8)</f>
        <v/>
      </c>
      <c r="BK10" s="17">
        <f>IF(BK8=0,0,BK9/BK8)</f>
        <v/>
      </c>
      <c r="BL10" s="17">
        <f>IF(BL8=0,0,BL9/BL8)</f>
        <v/>
      </c>
      <c r="BM10" s="17">
        <f>IF(BM8=0,0,BM9/BM8)</f>
        <v/>
      </c>
      <c r="BN10" s="17">
        <f>IF(BN8=0,0,BN9/BN8)</f>
        <v/>
      </c>
      <c r="BO10" s="57">
        <f>IF(BO8=0,0,BO9/BO8)</f>
        <v/>
      </c>
    </row>
    <row r="11" ht="10.5" customHeight="1" s="111">
      <c r="A11" s="16" t="n"/>
      <c r="B11" s="14" t="n"/>
      <c r="C11" s="14" t="n"/>
      <c r="D11" s="52" t="n"/>
      <c r="E11" s="14" t="n"/>
      <c r="F11" s="14" t="n"/>
      <c r="G11" s="14" t="n"/>
      <c r="H11" s="14" t="n"/>
      <c r="I11" s="53" t="n"/>
      <c r="J11" s="14" t="n"/>
      <c r="K11" s="14" t="n"/>
      <c r="L11" s="52" t="n"/>
      <c r="M11" s="14" t="n"/>
      <c r="N11" s="14" t="n"/>
      <c r="O11" s="14" t="n"/>
      <c r="P11" s="14" t="n"/>
      <c r="Q11" s="53" t="n"/>
      <c r="R11" s="14" t="n"/>
      <c r="S11" s="14" t="n"/>
      <c r="T11" s="15" t="n"/>
      <c r="U11" s="49">
        <f>IF(D11="","",D11-I10-1)</f>
        <v/>
      </c>
      <c r="V11" s="51">
        <f>IF(E11="","",E11-D11-1)</f>
        <v/>
      </c>
      <c r="W11" s="51">
        <f>IF(F11="","",F11-E11-1)</f>
        <v/>
      </c>
      <c r="X11" s="51">
        <f>IF(G11="","",G11-F11-1)</f>
        <v/>
      </c>
      <c r="Y11" s="51">
        <f>IF(H11="","",H11-G11-1)</f>
        <v/>
      </c>
      <c r="Z11" s="54">
        <f>IF(I11="","",I11-H11-1)</f>
        <v/>
      </c>
      <c r="AA11" s="55">
        <f>SUM(U11:Z11)</f>
        <v/>
      </c>
      <c r="AB11" s="17" t="n"/>
      <c r="AC11" s="14" t="n"/>
      <c r="AD11" s="14" t="n"/>
      <c r="AE11" s="14" t="n"/>
      <c r="AF11" s="14" t="n"/>
      <c r="AG11" s="14" t="n"/>
      <c r="AH11" s="14" t="n"/>
      <c r="AI11" s="15" t="n"/>
      <c r="AJ11" s="49">
        <f>IF(L11="","",L11-Q10-1)</f>
        <v/>
      </c>
      <c r="AK11" s="51">
        <f>IF(M11="","",M11-L11-1)</f>
        <v/>
      </c>
      <c r="AL11" s="51">
        <f>IF(N11="","",N11-M11-1)</f>
        <v/>
      </c>
      <c r="AM11" s="51">
        <f>IF(O11="","",O11-N11-1)</f>
        <v/>
      </c>
      <c r="AN11" s="51">
        <f>IF(P11="","",P11-O11-1)</f>
        <v/>
      </c>
      <c r="AO11" s="54">
        <f>IF(Q11="","",Q11-P11-1)</f>
        <v/>
      </c>
      <c r="AP11" s="55">
        <f>SUM(AJ11:AO11)</f>
        <v/>
      </c>
      <c r="AQ11" s="17" t="n"/>
      <c r="AR11" s="14" t="n"/>
      <c r="AS11" s="14" t="n"/>
      <c r="AT11" s="14" t="n"/>
      <c r="AU11" s="14" t="n"/>
      <c r="AV11" s="14" t="n"/>
      <c r="AW11" s="14" t="n"/>
      <c r="AX11" s="14" t="n"/>
      <c r="AY11" s="15" t="n"/>
      <c r="AZ11" s="36" t="inlineStr">
        <is>
          <t>%PT</t>
        </is>
      </c>
      <c r="BA11" s="56">
        <f>IF($BB$6=0,0,(BA9/$BB$6)*100)</f>
        <v/>
      </c>
      <c r="BB11" s="17">
        <f>IF($BB$6=0,0,(BB9/$BB$6)*100)</f>
        <v/>
      </c>
      <c r="BC11" s="17">
        <f>IF($BB$6=0,0,(BC9/$BB$6)*100)</f>
        <v/>
      </c>
      <c r="BD11" s="17">
        <f>IF($BB$6=0,0,(BD9/$BB$6)*100)</f>
        <v/>
      </c>
      <c r="BE11" s="17">
        <f>IF($BB$6=0,0,(BE9/$BB$6)*100)</f>
        <v/>
      </c>
      <c r="BF11" s="57">
        <f>IF($BB$6=0,0,(BF9/$BB$6)*100)</f>
        <v/>
      </c>
      <c r="BG11" s="6" t="n"/>
      <c r="BH11" s="6" t="n"/>
      <c r="BI11" s="40" t="inlineStr">
        <is>
          <t>%PT</t>
        </is>
      </c>
      <c r="BJ11" s="56">
        <f>IF($BK$6=0,0,(BJ9/$BB$6)*100)</f>
        <v/>
      </c>
      <c r="BK11" s="17">
        <f>IF($BK$6=0,0,(BK9/$BB$6)*100)</f>
        <v/>
      </c>
      <c r="BL11" s="17">
        <f>IF($BK$6=0,0,(BL9/$BB$6)*100)</f>
        <v/>
      </c>
      <c r="BM11" s="17">
        <f>IF($BK$6=0,0,(BM9/$BB$6)*100)</f>
        <v/>
      </c>
      <c r="BN11" s="17">
        <f>IF($BK$6=0,0,(BN9/$BB$6)*100)</f>
        <v/>
      </c>
      <c r="BO11" s="57">
        <f>IF($BK$6=0,0,(BO9/$BB$6)*100)</f>
        <v/>
      </c>
    </row>
    <row r="12" ht="10.5" customHeight="1" s="111">
      <c r="A12" s="16" t="n"/>
      <c r="B12" s="14" t="n"/>
      <c r="C12" s="14" t="n"/>
      <c r="D12" s="52" t="n"/>
      <c r="E12" s="14" t="n"/>
      <c r="F12" s="14" t="n"/>
      <c r="G12" s="14" t="n"/>
      <c r="H12" s="14" t="n"/>
      <c r="I12" s="53" t="n"/>
      <c r="J12" s="14" t="n"/>
      <c r="K12" s="14" t="n"/>
      <c r="L12" s="52" t="n"/>
      <c r="M12" s="14" t="n"/>
      <c r="N12" s="14" t="n"/>
      <c r="O12" s="14" t="n"/>
      <c r="P12" s="14" t="n"/>
      <c r="Q12" s="53" t="n"/>
      <c r="R12" s="14" t="n"/>
      <c r="S12" s="14" t="n"/>
      <c r="T12" s="15" t="n"/>
      <c r="U12" s="49">
        <f>IF(D12="","",D12-I11-1)</f>
        <v/>
      </c>
      <c r="V12" s="51">
        <f>IF(E12="","",E12-D12-1)</f>
        <v/>
      </c>
      <c r="W12" s="51">
        <f>IF(F12="","",F12-E12-1)</f>
        <v/>
      </c>
      <c r="X12" s="51">
        <f>IF(G12="","",G12-F12-1)</f>
        <v/>
      </c>
      <c r="Y12" s="51">
        <f>IF(H12="","",H12-G12-1)</f>
        <v/>
      </c>
      <c r="Z12" s="54">
        <f>IF(I12="","",I12-H12-1)</f>
        <v/>
      </c>
      <c r="AA12" s="58">
        <f>SUM(U12:Z12)</f>
        <v/>
      </c>
      <c r="AB12" s="17" t="n"/>
      <c r="AC12" s="14" t="n"/>
      <c r="AD12" s="14" t="n"/>
      <c r="AE12" s="14" t="n"/>
      <c r="AF12" s="14" t="n"/>
      <c r="AG12" s="14" t="n"/>
      <c r="AH12" s="14" t="n"/>
      <c r="AI12" s="15" t="n"/>
      <c r="AJ12" s="49">
        <f>IF(L12="","",L12-Q11-1)</f>
        <v/>
      </c>
      <c r="AK12" s="51">
        <f>IF(M12="","",M12-L12-1)</f>
        <v/>
      </c>
      <c r="AL12" s="51">
        <f>IF(N12="","",N12-M12-1)</f>
        <v/>
      </c>
      <c r="AM12" s="51">
        <f>IF(O12="","",O12-N12-1)</f>
        <v/>
      </c>
      <c r="AN12" s="51">
        <f>IF(P12="","",P12-O12-1)</f>
        <v/>
      </c>
      <c r="AO12" s="54">
        <f>IF(Q12="","",Q12-P12-1)</f>
        <v/>
      </c>
      <c r="AP12" s="58">
        <f>SUM(AJ12:AO12)</f>
        <v/>
      </c>
      <c r="AQ12" s="17" t="n"/>
      <c r="AR12" s="14" t="n"/>
      <c r="AS12" s="14" t="n"/>
      <c r="AT12" s="14" t="n"/>
      <c r="AU12" s="14" t="n"/>
      <c r="AV12" s="14" t="n"/>
      <c r="AW12" s="14" t="n"/>
      <c r="AX12" s="14" t="n"/>
      <c r="AY12" s="15" t="n"/>
      <c r="AZ12" s="59" t="inlineStr">
        <is>
          <t>%=0</t>
        </is>
      </c>
      <c r="BA12" s="60">
        <f>IF(BA$8=0,0,(AB82/BA$8)*100)</f>
        <v/>
      </c>
      <c r="BB12" s="61">
        <f>IF(BB$8=0,0,(AC82/BB$8)*100)</f>
        <v/>
      </c>
      <c r="BC12" s="61">
        <f>IF(BC$8=0,0,(AD82/BC$8)*100)</f>
        <v/>
      </c>
      <c r="BD12" s="61">
        <f>IF(BD$8=0,0,(AE82/BD$8)*100)</f>
        <v/>
      </c>
      <c r="BE12" s="61">
        <f>IF(BE$8=0,0,(AF82/BE$8)*100)</f>
        <v/>
      </c>
      <c r="BF12" s="62">
        <f>IF(BF$8=0,0,(AG82/BF$8)*100)</f>
        <v/>
      </c>
      <c r="BG12" s="6" t="n"/>
      <c r="BH12" s="6" t="n"/>
      <c r="BI12" s="63" t="inlineStr">
        <is>
          <t>%=0</t>
        </is>
      </c>
      <c r="BJ12" s="60">
        <f>IF(BJ$8=0,0,(AQ82/BJ$8)*100)</f>
        <v/>
      </c>
      <c r="BK12" s="61">
        <f>IF(BK$8=0,0,(AR82/BK$8)*100)</f>
        <v/>
      </c>
      <c r="BL12" s="61">
        <f>IF(BL$8=0,0,(AS82/BL$8)*100)</f>
        <v/>
      </c>
      <c r="BM12" s="61">
        <f>IF(BM$8=0,0,(AT82/BM$8)*100)</f>
        <v/>
      </c>
      <c r="BN12" s="61">
        <f>IF(BN$8=0,0,(AU82/BN$8)*100)</f>
        <v/>
      </c>
      <c r="BO12" s="62">
        <f>IF(BO$8=0,0,(AV82/BO$8)*100)</f>
        <v/>
      </c>
    </row>
    <row r="13" ht="10.5" customHeight="1" s="111">
      <c r="A13" s="16" t="n"/>
      <c r="B13" s="14" t="n"/>
      <c r="C13" s="14" t="n"/>
      <c r="D13" s="52" t="n"/>
      <c r="E13" s="14" t="n"/>
      <c r="F13" s="14" t="n"/>
      <c r="G13" s="14" t="n"/>
      <c r="H13" s="14" t="n"/>
      <c r="I13" s="53" t="n"/>
      <c r="J13" s="14" t="n"/>
      <c r="K13" s="14" t="n"/>
      <c r="L13" s="52" t="n"/>
      <c r="M13" s="14" t="n"/>
      <c r="N13" s="14" t="n"/>
      <c r="O13" s="14" t="n"/>
      <c r="P13" s="14" t="n"/>
      <c r="Q13" s="53" t="n"/>
      <c r="R13" s="14" t="n"/>
      <c r="S13" s="14" t="n"/>
      <c r="T13" s="15" t="n"/>
      <c r="U13" s="49">
        <f>IF(D13="","",D13-I12-1)</f>
        <v/>
      </c>
      <c r="V13" s="51">
        <f>IF(E13="","",E13-D13-1)</f>
        <v/>
      </c>
      <c r="W13" s="51">
        <f>IF(F13="","",F13-E13-1)</f>
        <v/>
      </c>
      <c r="X13" s="51">
        <f>IF(G13="","",G13-F13-1)</f>
        <v/>
      </c>
      <c r="Y13" s="51">
        <f>IF(H13="","",H13-G13-1)</f>
        <v/>
      </c>
      <c r="Z13" s="54">
        <f>IF(I13="","",I13-H13-1)</f>
        <v/>
      </c>
      <c r="AA13" s="55">
        <f>SUM(U13:Z13)</f>
        <v/>
      </c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49">
        <f>IF(L13="","",L13-Q12-1)</f>
        <v/>
      </c>
      <c r="AK13" s="51">
        <f>IF(M13="","",M13-L13-1)</f>
        <v/>
      </c>
      <c r="AL13" s="51">
        <f>IF(N13="","",N13-M13-1)</f>
        <v/>
      </c>
      <c r="AM13" s="51">
        <f>IF(O13="","",O13-N13-1)</f>
        <v/>
      </c>
      <c r="AN13" s="51">
        <f>IF(P13="","",P13-O13-1)</f>
        <v/>
      </c>
      <c r="AO13" s="54">
        <f>IF(Q13="","",Q13-P13-1)</f>
        <v/>
      </c>
      <c r="AP13" s="55">
        <f>SUM(AJ13:AO13)</f>
        <v/>
      </c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5" t="n"/>
      <c r="AZ13" s="36" t="inlineStr">
        <is>
          <t>%&gt;0</t>
        </is>
      </c>
      <c r="BA13" s="56">
        <f>IF(BA$8=0,0,(AB83/BA$8)*100)</f>
        <v/>
      </c>
      <c r="BB13" s="17">
        <f>IF(BB$8=0,0,(AC83/BB$8)*100)</f>
        <v/>
      </c>
      <c r="BC13" s="17">
        <f>IF(BC$8=0,0,(AD83/BC$8)*100)</f>
        <v/>
      </c>
      <c r="BD13" s="17">
        <f>IF(BD$8=0,0,(AE83/BD$8)*100)</f>
        <v/>
      </c>
      <c r="BE13" s="17">
        <f>IF(BE$8=0,0,(AF83/BE$8)*100)</f>
        <v/>
      </c>
      <c r="BF13" s="57">
        <f>IF(BF$8=0,0,(AG83/BF$8)*100)</f>
        <v/>
      </c>
      <c r="BG13" s="6" t="n"/>
      <c r="BH13" s="6" t="n"/>
      <c r="BI13" s="40" t="inlineStr">
        <is>
          <t>%&gt;0</t>
        </is>
      </c>
      <c r="BJ13" s="56">
        <f>IF(BJ$8=0,0,(AQ83/BJ$8)*100)</f>
        <v/>
      </c>
      <c r="BK13" s="17">
        <f>IF(BK$8=0,0,(AR83/BK$8)*100)</f>
        <v/>
      </c>
      <c r="BL13" s="17">
        <f>IF(BL$8=0,0,(AS83/BL$8)*100)</f>
        <v/>
      </c>
      <c r="BM13" s="17">
        <f>IF(BM$8=0,0,(AT83/BM$8)*100)</f>
        <v/>
      </c>
      <c r="BN13" s="17">
        <f>IF(BN$8=0,0,(AU83/BN$8)*100)</f>
        <v/>
      </c>
      <c r="BO13" s="57">
        <f>IF(BO$8=0,0,(AV83/BO$8)*100)</f>
        <v/>
      </c>
    </row>
    <row r="14" ht="10.5" customHeight="1" s="111">
      <c r="A14" s="16" t="n"/>
      <c r="B14" s="14" t="n"/>
      <c r="C14" s="14" t="n"/>
      <c r="D14" s="64" t="n"/>
      <c r="E14" s="65" t="n"/>
      <c r="F14" s="65" t="n"/>
      <c r="G14" s="65" t="n"/>
      <c r="H14" s="65" t="n"/>
      <c r="I14" s="45" t="n"/>
      <c r="J14" s="14" t="n"/>
      <c r="K14" s="14" t="n"/>
      <c r="L14" s="64" t="n"/>
      <c r="M14" s="65" t="n"/>
      <c r="N14" s="65" t="n"/>
      <c r="O14" s="65" t="n"/>
      <c r="P14" s="65" t="n"/>
      <c r="Q14" s="45" t="n"/>
      <c r="R14" s="14" t="n"/>
      <c r="S14" s="14" t="n"/>
      <c r="T14" s="15" t="n"/>
      <c r="U14" s="66">
        <f>IF(D14="","",D14-I13-1)</f>
        <v/>
      </c>
      <c r="V14" s="67">
        <f>IF(E14="","",E14-D14-1)</f>
        <v/>
      </c>
      <c r="W14" s="67">
        <f>IF(F14="","",F14-E14-1)</f>
        <v/>
      </c>
      <c r="X14" s="67">
        <f>IF(G14="","",G14-F14-1)</f>
        <v/>
      </c>
      <c r="Y14" s="67">
        <f>IF(H14="","",H14-G14-1)</f>
        <v/>
      </c>
      <c r="Z14" s="68">
        <f>IF(I14="","",I14-H14-1)</f>
        <v/>
      </c>
      <c r="AA14" s="69">
        <f>SUM(U14:Z14)</f>
        <v/>
      </c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66">
        <f>IF(L14="","",L14-Q13-1)</f>
        <v/>
      </c>
      <c r="AK14" s="67">
        <f>IF(M14="","",M14-L14-1)</f>
        <v/>
      </c>
      <c r="AL14" s="67">
        <f>IF(N14="","",N14-M14-1)</f>
        <v/>
      </c>
      <c r="AM14" s="67">
        <f>IF(O14="","",O14-N14-1)</f>
        <v/>
      </c>
      <c r="AN14" s="67">
        <f>IF(P14="","",P14-O14-1)</f>
        <v/>
      </c>
      <c r="AO14" s="68">
        <f>IF(Q14="","",Q14-P14-1)</f>
        <v/>
      </c>
      <c r="AP14" s="69">
        <f>SUM(AJ14:AO14)</f>
        <v/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5" t="n"/>
      <c r="AZ14" s="36" t="inlineStr">
        <is>
          <t>%&gt;1</t>
        </is>
      </c>
      <c r="BA14" s="70">
        <f>IF(BA$8=0,0,(AB84/BA$8)*100)</f>
        <v/>
      </c>
      <c r="BB14" s="71">
        <f>IF(BB$8=0,0,(AC84/BB$8)*100)</f>
        <v/>
      </c>
      <c r="BC14" s="71">
        <f>IF(BC$8=0,0,(AD84/BC$8)*100)</f>
        <v/>
      </c>
      <c r="BD14" s="71">
        <f>IF(BD$8=0,0,(AE84/BD$8)*100)</f>
        <v/>
      </c>
      <c r="BE14" s="71">
        <f>IF(BE$8=0,0,(AF84/BE$8)*100)</f>
        <v/>
      </c>
      <c r="BF14" s="72">
        <f>IF(BF$8=0,0,(AG84/BF$8)*100)</f>
        <v/>
      </c>
      <c r="BG14" s="6" t="n"/>
      <c r="BH14" s="6" t="n"/>
      <c r="BI14" s="40" t="inlineStr">
        <is>
          <t>%&gt;1</t>
        </is>
      </c>
      <c r="BJ14" s="70">
        <f>IF(BJ$8=0,0,(AQ84/BJ$8)*100)</f>
        <v/>
      </c>
      <c r="BK14" s="71">
        <f>IF(BK$8=0,0,(AR84/BK$8)*100)</f>
        <v/>
      </c>
      <c r="BL14" s="71">
        <f>IF(BL$8=0,0,(AS84/BL$8)*100)</f>
        <v/>
      </c>
      <c r="BM14" s="71">
        <f>IF(BM$8=0,0,(AT84/BM$8)*100)</f>
        <v/>
      </c>
      <c r="BN14" s="71">
        <f>IF(BN$8=0,0,(AU84/BN$8)*100)</f>
        <v/>
      </c>
      <c r="BO14" s="72">
        <f>IF(BO$8=0,0,(AV84/BO$8)*100)</f>
        <v/>
      </c>
    </row>
    <row r="15" ht="10.5" customHeight="1" s="111">
      <c r="A15" s="16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5" t="n"/>
      <c r="U15" s="73">
        <f>COUNTIF(U9:U14,"&gt;=0")</f>
        <v/>
      </c>
      <c r="V15" s="74">
        <f>COUNTIF(V9:V14,"&gt;=0")</f>
        <v/>
      </c>
      <c r="W15" s="74">
        <f>COUNTIF(W9:W14,"&gt;=0")</f>
        <v/>
      </c>
      <c r="X15" s="74">
        <f>COUNTIF(X9:X14,"&gt;=0")</f>
        <v/>
      </c>
      <c r="Y15" s="74">
        <f>COUNTIF(Y9:Y14,"&gt;=0")</f>
        <v/>
      </c>
      <c r="Z15" s="75">
        <f>COUNTIF(Z9:Z14,"&gt;=0")</f>
        <v/>
      </c>
      <c r="AA15" s="18">
        <f>SUM(AA9:AA14)</f>
        <v/>
      </c>
      <c r="AB15" s="77">
        <f>IF(OR(AD7=0,AD7=""),"",(AA15/AD7)*100)</f>
        <v/>
      </c>
      <c r="AC15" s="14" t="n"/>
      <c r="AD15" s="14" t="n"/>
      <c r="AE15" s="14" t="n"/>
      <c r="AF15" s="14" t="n"/>
      <c r="AG15" s="14" t="n"/>
      <c r="AH15" s="14" t="n"/>
      <c r="AI15" s="15" t="n"/>
      <c r="AJ15" s="73">
        <f>COUNTIF(AJ9:AJ14,"&gt;=0")</f>
        <v/>
      </c>
      <c r="AK15" s="74">
        <f>COUNTIF(AK9:AK14,"&gt;=0")</f>
        <v/>
      </c>
      <c r="AL15" s="74">
        <f>COUNTIF(AL9:AL14,"&gt;=0")</f>
        <v/>
      </c>
      <c r="AM15" s="74">
        <f>COUNTIF(AM9:AM14,"&gt;=0")</f>
        <v/>
      </c>
      <c r="AN15" s="74">
        <f>COUNTIF(AN9:AN14,"&gt;=0")</f>
        <v/>
      </c>
      <c r="AO15" s="75">
        <f>COUNTIF(AO9:AO14,"&gt;=0")</f>
        <v/>
      </c>
      <c r="AP15" s="18">
        <f>SUM(AP9:AP14)</f>
        <v/>
      </c>
      <c r="AQ15" s="77">
        <f>IF(OR(AS7=0,AS7=""),"",(AP15/AS7)*100)</f>
        <v/>
      </c>
      <c r="AR15" s="14" t="n"/>
      <c r="AS15" s="14" t="n"/>
      <c r="AT15" s="14" t="n"/>
      <c r="AU15" s="14" t="n"/>
      <c r="AV15" s="14" t="n"/>
      <c r="AW15" s="14" t="n"/>
      <c r="AX15" s="14" t="n"/>
      <c r="AY15" s="15" t="n"/>
      <c r="AZ15" s="9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11" t="n"/>
    </row>
    <row r="16" ht="10.5" customHeight="1" s="111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5" t="n"/>
      <c r="U16" s="78">
        <f>SUM(U9:U14)</f>
        <v/>
      </c>
      <c r="V16" s="79">
        <f>SUM(V9:V14)</f>
        <v/>
      </c>
      <c r="W16" s="79">
        <f>SUM(W9:W14)</f>
        <v/>
      </c>
      <c r="X16" s="79">
        <f>SUM(X9:X14)</f>
        <v/>
      </c>
      <c r="Y16" s="79">
        <f>SUM(Y9:Y14)</f>
        <v/>
      </c>
      <c r="Z16" s="80">
        <f>SUM(Z9:Z14)</f>
        <v/>
      </c>
      <c r="AA16" s="119" t="n"/>
      <c r="AB16" s="17" t="n"/>
      <c r="AC16" s="14" t="n"/>
      <c r="AD16" s="14" t="n"/>
      <c r="AE16" s="14" t="n"/>
      <c r="AF16" s="14" t="n"/>
      <c r="AG16" s="14" t="n"/>
      <c r="AH16" s="14" t="n"/>
      <c r="AI16" s="15" t="n"/>
      <c r="AJ16" s="78">
        <f>SUM(AJ9:AJ14)</f>
        <v/>
      </c>
      <c r="AK16" s="79">
        <f>SUM(AK9:AK14)</f>
        <v/>
      </c>
      <c r="AL16" s="79">
        <f>SUM(AL9:AL14)</f>
        <v/>
      </c>
      <c r="AM16" s="79">
        <f>SUM(AM9:AM14)</f>
        <v/>
      </c>
      <c r="AN16" s="79">
        <f>SUM(AN9:AN14)</f>
        <v/>
      </c>
      <c r="AO16" s="80">
        <f>SUM(AO9:AO14)</f>
        <v/>
      </c>
      <c r="AP16" s="119" t="n"/>
      <c r="AQ16" s="17" t="n"/>
      <c r="AR16" s="14" t="n"/>
      <c r="AS16" s="14" t="n"/>
      <c r="AT16" s="14" t="n"/>
      <c r="AU16" s="14" t="n"/>
      <c r="AV16" s="14" t="n"/>
      <c r="AW16" s="14" t="n"/>
      <c r="AX16" s="14" t="n"/>
      <c r="AY16" s="15" t="n"/>
      <c r="AZ16" s="9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11" t="n"/>
    </row>
    <row r="17" ht="10.5" customHeight="1" s="111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5" t="n"/>
      <c r="U17" s="82">
        <f>IF($AA15=0,0,(U16/$AA15)*100)</f>
        <v/>
      </c>
      <c r="V17" s="83">
        <f>IF($AA15=0,0,(V16/$AA15)*100)</f>
        <v/>
      </c>
      <c r="W17" s="83">
        <f>IF($AA15=0,0,(W16/$AA15)*100)</f>
        <v/>
      </c>
      <c r="X17" s="83">
        <f>IF($AA15=0,0,(X16/$AA15)*100)</f>
        <v/>
      </c>
      <c r="Y17" s="83">
        <f>IF($AA15=0,0,(Y16/$AA15)*100)</f>
        <v/>
      </c>
      <c r="Z17" s="84">
        <f>IF($AA15=0,0,(Z16/$AA15)*100)</f>
        <v/>
      </c>
      <c r="AA17" s="85" t="inlineStr">
        <is>
          <t>PR%</t>
        </is>
      </c>
      <c r="AB17" s="17" t="n"/>
      <c r="AC17" s="14" t="n"/>
      <c r="AD17" s="14" t="n"/>
      <c r="AE17" s="14" t="n"/>
      <c r="AF17" s="14" t="n"/>
      <c r="AG17" s="14" t="n"/>
      <c r="AH17" s="14" t="n"/>
      <c r="AI17" s="15" t="n"/>
      <c r="AJ17" s="82">
        <f>IF($AP15=0,0,(AJ16/$AP15)*100)</f>
        <v/>
      </c>
      <c r="AK17" s="83">
        <f>IF($AP15=0,0,(AK16/$AP15)*100)</f>
        <v/>
      </c>
      <c r="AL17" s="83">
        <f>IF($AP15=0,0,(AL16/$AP15)*100)</f>
        <v/>
      </c>
      <c r="AM17" s="83">
        <f>IF($AP15=0,0,(AM16/$AP15)*100)</f>
        <v/>
      </c>
      <c r="AN17" s="83">
        <f>IF($AP15=0,0,(AN16/$AP15)*100)</f>
        <v/>
      </c>
      <c r="AO17" s="84">
        <f>IF($AP15=0,0,(AO16/$AP15)*100)</f>
        <v/>
      </c>
      <c r="AP17" s="85" t="inlineStr">
        <is>
          <t>PR%</t>
        </is>
      </c>
      <c r="AQ17" s="17" t="n"/>
      <c r="AR17" s="14" t="n"/>
      <c r="AS17" s="14" t="n"/>
      <c r="AT17" s="14" t="n"/>
      <c r="AU17" s="14" t="n"/>
      <c r="AV17" s="14" t="n"/>
      <c r="AW17" s="14" t="n"/>
      <c r="AX17" s="14" t="n"/>
      <c r="AY17" s="15" t="n"/>
      <c r="AZ17" s="9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11" t="n"/>
    </row>
    <row r="18" ht="10.5" customHeight="1" s="111">
      <c r="A18" s="19" t="inlineStr">
        <is>
          <t>SET II</t>
        </is>
      </c>
      <c r="B18" s="1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5" t="n"/>
      <c r="U18" s="16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6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5" t="n"/>
      <c r="AZ18" s="9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11" t="n"/>
    </row>
    <row r="19" ht="10.5" customHeight="1" s="111">
      <c r="A19" s="16" t="n"/>
      <c r="B19" s="14" t="n"/>
      <c r="C19" s="14" t="n"/>
      <c r="D19" s="118">
        <f>IF($D$7="","",$D$7)</f>
        <v/>
      </c>
      <c r="J19" s="14" t="n"/>
      <c r="K19" s="14" t="n"/>
      <c r="L19" s="118">
        <f>IF($L$7="","",$L$7)</f>
        <v/>
      </c>
      <c r="R19" s="14" t="n"/>
      <c r="S19" s="14" t="n"/>
      <c r="T19" s="15" t="n"/>
      <c r="U19" s="23">
        <f>IF($B20="","",$B20)</f>
        <v/>
      </c>
      <c r="V19" s="24">
        <f>IF(U19="","",IF(U19=1,6,U19-1))</f>
        <v/>
      </c>
      <c r="W19" s="25">
        <f>IF(V19="","",IF(V19=1,6,V19-1))</f>
        <v/>
      </c>
      <c r="X19" s="25">
        <f>IF(W19="","",IF(W19=1,6,W19-1))</f>
        <v/>
      </c>
      <c r="Y19" s="25">
        <f>IF(X19="","",IF(X19=1,6,X19-1))</f>
        <v/>
      </c>
      <c r="Z19" s="26">
        <f>IF(Y19="","",IF(Y19=1,6,Y19-1))</f>
        <v/>
      </c>
      <c r="AA19" s="27" t="inlineStr">
        <is>
          <t>P</t>
        </is>
      </c>
      <c r="AB19" s="30" t="inlineStr">
        <is>
          <t>SET II</t>
        </is>
      </c>
      <c r="AC19" s="114" t="n"/>
      <c r="AD19" s="29">
        <f>IF(D21="","",MAX(D21:I26))</f>
        <v/>
      </c>
      <c r="AE19" s="14" t="n"/>
      <c r="AF19" s="14" t="n"/>
      <c r="AG19" s="14" t="n"/>
      <c r="AH19" s="14" t="n"/>
      <c r="AI19" s="15" t="n"/>
      <c r="AJ19" s="23">
        <f>IF($B20="","",$B20)</f>
        <v/>
      </c>
      <c r="AK19" s="24">
        <f>IF(AJ19="","",IF(AJ19=1,6,AJ19-1))</f>
        <v/>
      </c>
      <c r="AL19" s="25">
        <f>IF(AK19="","",IF(AK19=1,6,AK19-1))</f>
        <v/>
      </c>
      <c r="AM19" s="25">
        <f>IF(AL19="","",IF(AL19=1,6,AL19-1))</f>
        <v/>
      </c>
      <c r="AN19" s="25">
        <f>IF(AM19="","",IF(AM19=1,6,AM19-1))</f>
        <v/>
      </c>
      <c r="AO19" s="26">
        <f>IF(AN19="","",IF(AN19=1,6,AN19-1))</f>
        <v/>
      </c>
      <c r="AP19" s="27" t="inlineStr">
        <is>
          <t>P</t>
        </is>
      </c>
      <c r="AQ19" s="30" t="inlineStr">
        <is>
          <t>SET II</t>
        </is>
      </c>
      <c r="AR19" s="114" t="n"/>
      <c r="AS19" s="29">
        <f>IF(L21="","",MAX(L21:Q26))</f>
        <v/>
      </c>
      <c r="AT19" s="14" t="n"/>
      <c r="AU19" s="14" t="n"/>
      <c r="AV19" s="14" t="n"/>
      <c r="AW19" s="14" t="n"/>
      <c r="AX19" s="14" t="n"/>
      <c r="AY19" s="15" t="n"/>
      <c r="AZ19" s="9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11" t="n"/>
    </row>
    <row r="20" ht="10.5" customHeight="1" s="111">
      <c r="A20" s="30" t="inlineStr">
        <is>
          <t>P</t>
        </is>
      </c>
      <c r="B20" s="18" t="n"/>
      <c r="C20" s="14" t="n"/>
      <c r="D20" s="31" t="inlineStr">
        <is>
          <t>I</t>
        </is>
      </c>
      <c r="E20" s="31" t="inlineStr">
        <is>
          <t>II</t>
        </is>
      </c>
      <c r="F20" s="31" t="inlineStr">
        <is>
          <t>III</t>
        </is>
      </c>
      <c r="G20" s="31" t="inlineStr">
        <is>
          <t>IV</t>
        </is>
      </c>
      <c r="H20" s="31" t="inlineStr">
        <is>
          <t>V</t>
        </is>
      </c>
      <c r="I20" s="31" t="inlineStr">
        <is>
          <t>VI</t>
        </is>
      </c>
      <c r="J20" s="14" t="n"/>
      <c r="K20" s="14" t="n"/>
      <c r="L20" s="31" t="inlineStr">
        <is>
          <t>I</t>
        </is>
      </c>
      <c r="M20" s="31" t="inlineStr">
        <is>
          <t>II</t>
        </is>
      </c>
      <c r="N20" s="31" t="inlineStr">
        <is>
          <t>III</t>
        </is>
      </c>
      <c r="O20" s="31" t="inlineStr">
        <is>
          <t>IV</t>
        </is>
      </c>
      <c r="P20" s="31" t="inlineStr">
        <is>
          <t>V</t>
        </is>
      </c>
      <c r="Q20" s="31" t="inlineStr">
        <is>
          <t>VI</t>
        </is>
      </c>
      <c r="R20" s="14" t="n"/>
      <c r="S20" s="14" t="n"/>
      <c r="T20" s="15" t="n"/>
      <c r="U20" s="32" t="inlineStr">
        <is>
          <t>I</t>
        </is>
      </c>
      <c r="V20" s="33" t="inlineStr">
        <is>
          <t>II</t>
        </is>
      </c>
      <c r="W20" s="33" t="inlineStr">
        <is>
          <t>III</t>
        </is>
      </c>
      <c r="X20" s="33" t="inlineStr">
        <is>
          <t>IV</t>
        </is>
      </c>
      <c r="Y20" s="34" t="inlineStr">
        <is>
          <t>V</t>
        </is>
      </c>
      <c r="Z20" s="35" t="inlineStr">
        <is>
          <t>VI</t>
        </is>
      </c>
      <c r="AA20" s="18" t="inlineStr">
        <is>
          <t>TR</t>
        </is>
      </c>
      <c r="AB20" s="17" t="n"/>
      <c r="AC20" s="14" t="n"/>
      <c r="AD20" s="14" t="n"/>
      <c r="AE20" s="14" t="n"/>
      <c r="AF20" s="14" t="n"/>
      <c r="AG20" s="14" t="n"/>
      <c r="AH20" s="14" t="n"/>
      <c r="AI20" s="15" t="n"/>
      <c r="AJ20" s="32" t="inlineStr">
        <is>
          <t>I</t>
        </is>
      </c>
      <c r="AK20" s="33" t="inlineStr">
        <is>
          <t>II</t>
        </is>
      </c>
      <c r="AL20" s="33" t="inlineStr">
        <is>
          <t>III</t>
        </is>
      </c>
      <c r="AM20" s="33" t="inlineStr">
        <is>
          <t>IV</t>
        </is>
      </c>
      <c r="AN20" s="34" t="inlineStr">
        <is>
          <t>V</t>
        </is>
      </c>
      <c r="AO20" s="35" t="inlineStr">
        <is>
          <t>VI</t>
        </is>
      </c>
      <c r="AP20" s="18" t="inlineStr">
        <is>
          <t>TR</t>
        </is>
      </c>
      <c r="AQ20" s="17" t="n"/>
      <c r="AR20" s="14" t="n"/>
      <c r="AS20" s="14" t="n"/>
      <c r="AT20" s="14" t="n"/>
      <c r="AU20" s="14" t="n"/>
      <c r="AV20" s="14" t="n"/>
      <c r="AW20" s="14" t="n"/>
      <c r="AX20" s="14" t="n"/>
      <c r="AY20" s="15" t="n"/>
      <c r="AZ20" s="9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11" t="n"/>
    </row>
    <row r="21" ht="10.5" customHeight="1" s="111">
      <c r="A21" s="16" t="n"/>
      <c r="B21" s="14" t="n"/>
      <c r="C21" s="14" t="n"/>
      <c r="D21" s="41" t="n"/>
      <c r="E21" s="42" t="n"/>
      <c r="F21" s="42" t="n"/>
      <c r="G21" s="42" t="n"/>
      <c r="H21" s="42" t="n"/>
      <c r="I21" s="43" t="n"/>
      <c r="J21" s="14" t="n"/>
      <c r="K21" s="14" t="n"/>
      <c r="L21" s="41" t="n"/>
      <c r="M21" s="42" t="n"/>
      <c r="N21" s="42" t="n"/>
      <c r="O21" s="42" t="n"/>
      <c r="P21" s="42" t="n"/>
      <c r="Q21" s="43" t="n"/>
      <c r="R21" s="14" t="n"/>
      <c r="S21" s="14" t="n"/>
      <c r="T21" s="15" t="n"/>
      <c r="U21" s="44">
        <f>IF(D21="","",IF(UPPER(D21)="X","",D21))</f>
        <v/>
      </c>
      <c r="V21" s="45">
        <f>IF(E21="","",IF(UPPER(D21)="X",E21-1,E21-D21-1))</f>
        <v/>
      </c>
      <c r="W21" s="46">
        <f>IF(F21="","",F21-E21-1)</f>
        <v/>
      </c>
      <c r="X21" s="46">
        <f>IF(G21="","",G21-F21-1)</f>
        <v/>
      </c>
      <c r="Y21" s="46">
        <f>IF(H21="","",H21-G21-1)</f>
        <v/>
      </c>
      <c r="Z21" s="47">
        <f>IF(I21="","",I21-H21-1)</f>
        <v/>
      </c>
      <c r="AA21" s="48">
        <f>SUM(U21:Z21)</f>
        <v/>
      </c>
      <c r="AB21" s="17" t="n"/>
      <c r="AC21" s="14" t="n"/>
      <c r="AD21" s="14" t="n"/>
      <c r="AE21" s="14" t="n"/>
      <c r="AF21" s="14" t="n"/>
      <c r="AG21" s="14" t="n"/>
      <c r="AH21" s="14" t="n"/>
      <c r="AI21" s="15" t="n"/>
      <c r="AJ21" s="44">
        <f>IF(L21="","",IF(UPPER(L21)="X","",L21))</f>
        <v/>
      </c>
      <c r="AK21" s="45">
        <f>IF(M21="","",IF(UPPER(L21)="X",M21-1,M21-L21-1))</f>
        <v/>
      </c>
      <c r="AL21" s="46">
        <f>IF(N21="","",N21-M21-1)</f>
        <v/>
      </c>
      <c r="AM21" s="46">
        <f>IF(O21="","",O21-N21-1)</f>
        <v/>
      </c>
      <c r="AN21" s="46">
        <f>IF(P21="","",P21-O21-1)</f>
        <v/>
      </c>
      <c r="AO21" s="47">
        <f>IF(Q21="","",Q21-P21-1)</f>
        <v/>
      </c>
      <c r="AP21" s="48">
        <f>SUM(AJ21:AO21)</f>
        <v/>
      </c>
      <c r="AQ21" s="17" t="n"/>
      <c r="AR21" s="14" t="n"/>
      <c r="AS21" s="14" t="n"/>
      <c r="AT21" s="14" t="n"/>
      <c r="AU21" s="14" t="n"/>
      <c r="AV21" s="14" t="n"/>
      <c r="AW21" s="14" t="n"/>
      <c r="AX21" s="14" t="n"/>
      <c r="AY21" s="15" t="n"/>
      <c r="AZ21" s="9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11" t="n"/>
    </row>
    <row r="22" ht="10.5" customHeight="1" s="111">
      <c r="A22" s="16" t="n"/>
      <c r="B22" s="14" t="n"/>
      <c r="C22" s="14" t="n"/>
      <c r="D22" s="52" t="n"/>
      <c r="E22" s="14" t="n"/>
      <c r="F22" s="14" t="n"/>
      <c r="G22" s="14" t="n"/>
      <c r="H22" s="14" t="n"/>
      <c r="I22" s="53" t="n"/>
      <c r="J22" s="14" t="n"/>
      <c r="K22" s="14" t="n"/>
      <c r="L22" s="52" t="n"/>
      <c r="M22" s="14" t="n"/>
      <c r="N22" s="14" t="n"/>
      <c r="O22" s="14" t="n"/>
      <c r="P22" s="14" t="n"/>
      <c r="Q22" s="53" t="n"/>
      <c r="R22" s="14" t="n"/>
      <c r="S22" s="14" t="n"/>
      <c r="T22" s="15" t="n"/>
      <c r="U22" s="49">
        <f>IF(D22="","",D22-I21-1)</f>
        <v/>
      </c>
      <c r="V22" s="51">
        <f>IF(E22="","",E22-D22-1)</f>
        <v/>
      </c>
      <c r="W22" s="51">
        <f>IF(F22="","",F22-E22-1)</f>
        <v/>
      </c>
      <c r="X22" s="51">
        <f>IF(G22="","",G22-F22-1)</f>
        <v/>
      </c>
      <c r="Y22" s="51">
        <f>IF(H22="","",H22-G22-1)</f>
        <v/>
      </c>
      <c r="Z22" s="54">
        <f>IF(I22="","",I22-H22-1)</f>
        <v/>
      </c>
      <c r="AA22" s="55">
        <f>SUM(U22:Z22)</f>
        <v/>
      </c>
      <c r="AB22" s="17" t="n"/>
      <c r="AC22" s="14" t="n"/>
      <c r="AD22" s="14" t="n"/>
      <c r="AE22" s="14" t="n"/>
      <c r="AF22" s="14" t="n"/>
      <c r="AG22" s="14" t="n"/>
      <c r="AH22" s="14" t="n"/>
      <c r="AI22" s="15" t="n"/>
      <c r="AJ22" s="49">
        <f>IF(L22="","",L22-Q21-1)</f>
        <v/>
      </c>
      <c r="AK22" s="51">
        <f>IF(M22="","",M22-L22-1)</f>
        <v/>
      </c>
      <c r="AL22" s="51">
        <f>IF(N22="","",N22-M22-1)</f>
        <v/>
      </c>
      <c r="AM22" s="51">
        <f>IF(O22="","",O22-N22-1)</f>
        <v/>
      </c>
      <c r="AN22" s="51">
        <f>IF(P22="","",P22-O22-1)</f>
        <v/>
      </c>
      <c r="AO22" s="54">
        <f>IF(Q22="","",Q22-P22-1)</f>
        <v/>
      </c>
      <c r="AP22" s="55">
        <f>SUM(AJ22:AO22)</f>
        <v/>
      </c>
      <c r="AQ22" s="17" t="n"/>
      <c r="AR22" s="14" t="n"/>
      <c r="AS22" s="14" t="n"/>
      <c r="AT22" s="14" t="n"/>
      <c r="AU22" s="14" t="n"/>
      <c r="AV22" s="14" t="n"/>
      <c r="AW22" s="14" t="n"/>
      <c r="AX22" s="14" t="n"/>
      <c r="AY22" s="15" t="n"/>
      <c r="AZ22" s="9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11" t="n"/>
    </row>
    <row r="23" ht="10.5" customHeight="1" s="111">
      <c r="A23" s="16" t="n"/>
      <c r="B23" s="14" t="n"/>
      <c r="C23" s="14" t="n"/>
      <c r="D23" s="52" t="n"/>
      <c r="E23" s="14" t="n"/>
      <c r="F23" s="14" t="n"/>
      <c r="G23" s="14" t="n"/>
      <c r="H23" s="14" t="n"/>
      <c r="I23" s="53" t="n"/>
      <c r="J23" s="14" t="n"/>
      <c r="K23" s="14" t="n"/>
      <c r="L23" s="52" t="n"/>
      <c r="M23" s="14" t="n"/>
      <c r="N23" s="14" t="n"/>
      <c r="O23" s="14" t="n"/>
      <c r="P23" s="14" t="n"/>
      <c r="Q23" s="53" t="n"/>
      <c r="R23" s="14" t="n"/>
      <c r="S23" s="14" t="n"/>
      <c r="T23" s="15" t="n"/>
      <c r="U23" s="49">
        <f>IF(D23="","",D23-I22-1)</f>
        <v/>
      </c>
      <c r="V23" s="51">
        <f>IF(E23="","",E23-D23-1)</f>
        <v/>
      </c>
      <c r="W23" s="51">
        <f>IF(F23="","",F23-E23-1)</f>
        <v/>
      </c>
      <c r="X23" s="51">
        <f>IF(G23="","",G23-F23-1)</f>
        <v/>
      </c>
      <c r="Y23" s="51">
        <f>IF(H23="","",H23-G23-1)</f>
        <v/>
      </c>
      <c r="Z23" s="54">
        <f>IF(I23="","",I23-H23-1)</f>
        <v/>
      </c>
      <c r="AA23" s="55">
        <f>SUM(U23:Z23)</f>
        <v/>
      </c>
      <c r="AB23" s="17" t="n"/>
      <c r="AC23" s="14" t="n"/>
      <c r="AD23" s="14" t="n"/>
      <c r="AE23" s="14" t="n"/>
      <c r="AF23" s="14" t="n"/>
      <c r="AG23" s="14" t="n"/>
      <c r="AH23" s="14" t="n"/>
      <c r="AI23" s="15" t="n"/>
      <c r="AJ23" s="49">
        <f>IF(L23="","",L23-Q22-1)</f>
        <v/>
      </c>
      <c r="AK23" s="51">
        <f>IF(M23="","",M23-L23-1)</f>
        <v/>
      </c>
      <c r="AL23" s="51">
        <f>IF(N23="","",N23-M23-1)</f>
        <v/>
      </c>
      <c r="AM23" s="51">
        <f>IF(O23="","",O23-N23-1)</f>
        <v/>
      </c>
      <c r="AN23" s="51">
        <f>IF(P23="","",P23-O23-1)</f>
        <v/>
      </c>
      <c r="AO23" s="54">
        <f>IF(Q23="","",Q23-P23-1)</f>
        <v/>
      </c>
      <c r="AP23" s="55">
        <f>SUM(AJ23:AO23)</f>
        <v/>
      </c>
      <c r="AQ23" s="17" t="n"/>
      <c r="AR23" s="14" t="n"/>
      <c r="AS23" s="14" t="n"/>
      <c r="AT23" s="14" t="n"/>
      <c r="AU23" s="14" t="n"/>
      <c r="AV23" s="14" t="n"/>
      <c r="AW23" s="14" t="n"/>
      <c r="AX23" s="14" t="n"/>
      <c r="AY23" s="15" t="n"/>
      <c r="AZ23" s="9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11" t="n"/>
    </row>
    <row r="24" ht="10.5" customHeight="1" s="111">
      <c r="A24" s="16" t="n"/>
      <c r="B24" s="14" t="n"/>
      <c r="C24" s="14" t="n"/>
      <c r="D24" s="52" t="n"/>
      <c r="E24" s="14" t="n"/>
      <c r="F24" s="14" t="n"/>
      <c r="G24" s="14" t="n"/>
      <c r="H24" s="14" t="n"/>
      <c r="I24" s="53" t="n"/>
      <c r="J24" s="14" t="n"/>
      <c r="K24" s="14" t="n"/>
      <c r="L24" s="52" t="n"/>
      <c r="M24" s="14" t="n"/>
      <c r="N24" s="14" t="n"/>
      <c r="O24" s="14" t="n"/>
      <c r="P24" s="14" t="n"/>
      <c r="Q24" s="53" t="n"/>
      <c r="R24" s="14" t="n"/>
      <c r="S24" s="14" t="n"/>
      <c r="T24" s="15" t="n"/>
      <c r="U24" s="49">
        <f>IF(D24="","",D24-I23-1)</f>
        <v/>
      </c>
      <c r="V24" s="51">
        <f>IF(E24="","",E24-D24-1)</f>
        <v/>
      </c>
      <c r="W24" s="51">
        <f>IF(F24="","",F24-E24-1)</f>
        <v/>
      </c>
      <c r="X24" s="51">
        <f>IF(G24="","",G24-F24-1)</f>
        <v/>
      </c>
      <c r="Y24" s="51">
        <f>IF(H24="","",H24-G24-1)</f>
        <v/>
      </c>
      <c r="Z24" s="54">
        <f>IF(I24="","",I24-H24-1)</f>
        <v/>
      </c>
      <c r="AA24" s="58">
        <f>SUM(U24:Z24)</f>
        <v/>
      </c>
      <c r="AB24" s="17" t="n"/>
      <c r="AC24" s="14" t="n"/>
      <c r="AD24" s="14" t="n"/>
      <c r="AE24" s="14" t="n"/>
      <c r="AF24" s="14" t="n"/>
      <c r="AG24" s="14" t="n"/>
      <c r="AH24" s="14" t="n"/>
      <c r="AI24" s="15" t="n"/>
      <c r="AJ24" s="49">
        <f>IF(L24="","",L24-Q23-1)</f>
        <v/>
      </c>
      <c r="AK24" s="51">
        <f>IF(M24="","",M24-L24-1)</f>
        <v/>
      </c>
      <c r="AL24" s="51">
        <f>IF(N24="","",N24-M24-1)</f>
        <v/>
      </c>
      <c r="AM24" s="51">
        <f>IF(O24="","",O24-N24-1)</f>
        <v/>
      </c>
      <c r="AN24" s="51">
        <f>IF(P24="","",P24-O24-1)</f>
        <v/>
      </c>
      <c r="AO24" s="54">
        <f>IF(Q24="","",Q24-P24-1)</f>
        <v/>
      </c>
      <c r="AP24" s="58">
        <f>SUM(AJ24:AO24)</f>
        <v/>
      </c>
      <c r="AQ24" s="17" t="n"/>
      <c r="AR24" s="14" t="n"/>
      <c r="AS24" s="14" t="n"/>
      <c r="AT24" s="14" t="n"/>
      <c r="AU24" s="14" t="n"/>
      <c r="AV24" s="14" t="n"/>
      <c r="AW24" s="14" t="n"/>
      <c r="AX24" s="14" t="n"/>
      <c r="AY24" s="15" t="n"/>
      <c r="AZ24" s="9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11" t="n"/>
    </row>
    <row r="25" ht="10.5" customHeight="1" s="111">
      <c r="A25" s="16" t="n"/>
      <c r="B25" s="14" t="n"/>
      <c r="C25" s="14" t="n"/>
      <c r="D25" s="52" t="n"/>
      <c r="E25" s="14" t="n"/>
      <c r="F25" s="14" t="n"/>
      <c r="G25" s="14" t="n"/>
      <c r="H25" s="14" t="n"/>
      <c r="I25" s="53" t="n"/>
      <c r="J25" s="14" t="n"/>
      <c r="K25" s="14" t="n"/>
      <c r="L25" s="52" t="n"/>
      <c r="M25" s="14" t="n"/>
      <c r="N25" s="14" t="n"/>
      <c r="O25" s="14" t="n"/>
      <c r="P25" s="14" t="n"/>
      <c r="Q25" s="53" t="n"/>
      <c r="R25" s="14" t="n"/>
      <c r="S25" s="14" t="n"/>
      <c r="T25" s="15" t="n"/>
      <c r="U25" s="49">
        <f>IF(D25="","",D25-I24-1)</f>
        <v/>
      </c>
      <c r="V25" s="51">
        <f>IF(E25="","",E25-D25-1)</f>
        <v/>
      </c>
      <c r="W25" s="51">
        <f>IF(F25="","",F25-E25-1)</f>
        <v/>
      </c>
      <c r="X25" s="51">
        <f>IF(G25="","",G25-F25-1)</f>
        <v/>
      </c>
      <c r="Y25" s="51">
        <f>IF(H25="","",H25-G25-1)</f>
        <v/>
      </c>
      <c r="Z25" s="54">
        <f>IF(I25="","",I25-H25-1)</f>
        <v/>
      </c>
      <c r="AA25" s="55">
        <f>SUM(U25:Z25)</f>
        <v/>
      </c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49">
        <f>IF(L25="","",L25-Q24-1)</f>
        <v/>
      </c>
      <c r="AK25" s="51">
        <f>IF(M25="","",M25-L25-1)</f>
        <v/>
      </c>
      <c r="AL25" s="51">
        <f>IF(N25="","",N25-M25-1)</f>
        <v/>
      </c>
      <c r="AM25" s="51">
        <f>IF(O25="","",O25-N25-1)</f>
        <v/>
      </c>
      <c r="AN25" s="51">
        <f>IF(P25="","",P25-O25-1)</f>
        <v/>
      </c>
      <c r="AO25" s="54">
        <f>IF(Q25="","",Q25-P25-1)</f>
        <v/>
      </c>
      <c r="AP25" s="55">
        <f>SUM(AJ25:AO25)</f>
        <v/>
      </c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5" t="n"/>
      <c r="AZ25" s="9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11" t="n"/>
    </row>
    <row r="26" ht="10.5" customHeight="1" s="111">
      <c r="A26" s="16" t="n"/>
      <c r="B26" s="14" t="n"/>
      <c r="C26" s="14" t="n"/>
      <c r="D26" s="64" t="n"/>
      <c r="E26" s="65" t="n"/>
      <c r="F26" s="65" t="n"/>
      <c r="G26" s="65" t="n"/>
      <c r="H26" s="65" t="n"/>
      <c r="I26" s="45" t="n"/>
      <c r="J26" s="14" t="n"/>
      <c r="K26" s="14" t="n"/>
      <c r="L26" s="64" t="n"/>
      <c r="M26" s="65" t="n"/>
      <c r="N26" s="65" t="n"/>
      <c r="O26" s="65" t="n"/>
      <c r="P26" s="65" t="n"/>
      <c r="Q26" s="45" t="n"/>
      <c r="R26" s="14" t="n"/>
      <c r="S26" s="14" t="n"/>
      <c r="T26" s="15" t="n"/>
      <c r="U26" s="66">
        <f>IF(D26="","",D26-I25-1)</f>
        <v/>
      </c>
      <c r="V26" s="67">
        <f>IF(E26="","",E26-D26-1)</f>
        <v/>
      </c>
      <c r="W26" s="67">
        <f>IF(F26="","",F26-E26-1)</f>
        <v/>
      </c>
      <c r="X26" s="67">
        <f>IF(G26="","",G26-F26-1)</f>
        <v/>
      </c>
      <c r="Y26" s="67">
        <f>IF(H26="","",H26-G26-1)</f>
        <v/>
      </c>
      <c r="Z26" s="68">
        <f>IF(I26="","",I26-H26-1)</f>
        <v/>
      </c>
      <c r="AA26" s="69">
        <f>SUM(U26:Z26)</f>
        <v/>
      </c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66">
        <f>IF(L26="","",L26-Q25-1)</f>
        <v/>
      </c>
      <c r="AK26" s="67">
        <f>IF(M26="","",M26-L26-1)</f>
        <v/>
      </c>
      <c r="AL26" s="67">
        <f>IF(N26="","",N26-M26-1)</f>
        <v/>
      </c>
      <c r="AM26" s="67">
        <f>IF(O26="","",O26-N26-1)</f>
        <v/>
      </c>
      <c r="AN26" s="67">
        <f>IF(P26="","",P26-O26-1)</f>
        <v/>
      </c>
      <c r="AO26" s="68">
        <f>IF(Q26="","",Q26-P26-1)</f>
        <v/>
      </c>
      <c r="AP26" s="69">
        <f>SUM(AJ26:AO26)</f>
        <v/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5" t="n"/>
      <c r="AZ26" s="9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11" t="n"/>
    </row>
    <row r="27" ht="10.5" customHeight="1" s="111">
      <c r="A27" s="16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5" t="n"/>
      <c r="U27" s="73">
        <f>COUNTIF(U21:U26,"&gt;=0")</f>
        <v/>
      </c>
      <c r="V27" s="74">
        <f>COUNTIF(V21:V26,"&gt;=0")</f>
        <v/>
      </c>
      <c r="W27" s="74">
        <f>COUNTIF(W21:W26,"&gt;=0")</f>
        <v/>
      </c>
      <c r="X27" s="74">
        <f>COUNTIF(X21:X26,"&gt;=0")</f>
        <v/>
      </c>
      <c r="Y27" s="74">
        <f>COUNTIF(Y21:Y26,"&gt;=0")</f>
        <v/>
      </c>
      <c r="Z27" s="75">
        <f>COUNTIF(Z21:Z26,"&gt;=0")</f>
        <v/>
      </c>
      <c r="AA27" s="18">
        <f>SUM(AA21:AA26)</f>
        <v/>
      </c>
      <c r="AB27" s="77">
        <f>IF(OR(AD19=0,AD19=""),"",(AA27/AD19)*100)</f>
        <v/>
      </c>
      <c r="AC27" s="14" t="n"/>
      <c r="AD27" s="14" t="n"/>
      <c r="AE27" s="14" t="n"/>
      <c r="AF27" s="14" t="n"/>
      <c r="AG27" s="14" t="n"/>
      <c r="AH27" s="14" t="n"/>
      <c r="AI27" s="15" t="n"/>
      <c r="AJ27" s="73">
        <f>COUNTIF(AJ21:AJ26,"&gt;=0")</f>
        <v/>
      </c>
      <c r="AK27" s="74">
        <f>COUNTIF(AK21:AK26,"&gt;=0")</f>
        <v/>
      </c>
      <c r="AL27" s="74">
        <f>COUNTIF(AL21:AL26,"&gt;=0")</f>
        <v/>
      </c>
      <c r="AM27" s="74">
        <f>COUNTIF(AM21:AM26,"&gt;=0")</f>
        <v/>
      </c>
      <c r="AN27" s="74">
        <f>COUNTIF(AN21:AN26,"&gt;=0")</f>
        <v/>
      </c>
      <c r="AO27" s="75">
        <f>COUNTIF(AO21:AO26,"&gt;=0")</f>
        <v/>
      </c>
      <c r="AP27" s="18">
        <f>SUM(AP21:AP26)</f>
        <v/>
      </c>
      <c r="AQ27" s="77">
        <f>IF(OR(AS19=0,AS19=""),"",(AP27/AS19)*100)</f>
        <v/>
      </c>
      <c r="AR27" s="14" t="n"/>
      <c r="AS27" s="14" t="n"/>
      <c r="AT27" s="14" t="n"/>
      <c r="AU27" s="14" t="n"/>
      <c r="AV27" s="14" t="n"/>
      <c r="AW27" s="14" t="n"/>
      <c r="AX27" s="14" t="n"/>
      <c r="AY27" s="15" t="n"/>
      <c r="AZ27" s="9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11" t="n"/>
    </row>
    <row r="28" ht="10.5" customHeight="1" s="111">
      <c r="A28" s="16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5" t="n"/>
      <c r="U28" s="78">
        <f>SUM(U21:U26)</f>
        <v/>
      </c>
      <c r="V28" s="79">
        <f>SUM(V21:V26)</f>
        <v/>
      </c>
      <c r="W28" s="79">
        <f>SUM(W21:W26)</f>
        <v/>
      </c>
      <c r="X28" s="79">
        <f>SUM(X21:X26)</f>
        <v/>
      </c>
      <c r="Y28" s="79">
        <f>SUM(Y21:Y26)</f>
        <v/>
      </c>
      <c r="Z28" s="80">
        <f>SUM(Z21:Z26)</f>
        <v/>
      </c>
      <c r="AA28" s="119" t="n"/>
      <c r="AB28" s="17" t="n"/>
      <c r="AC28" s="14" t="n"/>
      <c r="AD28" s="14" t="n"/>
      <c r="AE28" s="14" t="n"/>
      <c r="AF28" s="14" t="n"/>
      <c r="AG28" s="14" t="n"/>
      <c r="AH28" s="14" t="n"/>
      <c r="AI28" s="15" t="n"/>
      <c r="AJ28" s="78">
        <f>SUM(AJ21:AJ26)</f>
        <v/>
      </c>
      <c r="AK28" s="79">
        <f>SUM(AK21:AK26)</f>
        <v/>
      </c>
      <c r="AL28" s="79">
        <f>SUM(AL21:AL26)</f>
        <v/>
      </c>
      <c r="AM28" s="79">
        <f>SUM(AM21:AM26)</f>
        <v/>
      </c>
      <c r="AN28" s="79">
        <f>SUM(AN21:AN26)</f>
        <v/>
      </c>
      <c r="AO28" s="80">
        <f>SUM(AO21:AO26)</f>
        <v/>
      </c>
      <c r="AP28" s="119" t="n"/>
      <c r="AQ28" s="17" t="n"/>
      <c r="AR28" s="14" t="n"/>
      <c r="AS28" s="14" t="n"/>
      <c r="AT28" s="14" t="n"/>
      <c r="AU28" s="14" t="n"/>
      <c r="AV28" s="14" t="n"/>
      <c r="AW28" s="14" t="n"/>
      <c r="AX28" s="14" t="n"/>
      <c r="AY28" s="15" t="n"/>
      <c r="AZ28" s="9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11" t="n"/>
    </row>
    <row r="29" ht="10.5" customHeight="1" s="111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5" t="n"/>
      <c r="U29" s="82">
        <f>IF($AA27=0,0,(U28/$AA27)*100)</f>
        <v/>
      </c>
      <c r="V29" s="83">
        <f>IF($AA27=0,0,(V28/$AA27)*100)</f>
        <v/>
      </c>
      <c r="W29" s="83">
        <f>IF($AA27=0,0,(W28/$AA27)*100)</f>
        <v/>
      </c>
      <c r="X29" s="83">
        <f>IF($AA27=0,0,(X28/$AA27)*100)</f>
        <v/>
      </c>
      <c r="Y29" s="83">
        <f>IF($AA27=0,0,(Y28/$AA27)*100)</f>
        <v/>
      </c>
      <c r="Z29" s="84">
        <f>IF($AA27=0,0,(Z28/$AA27)*100)</f>
        <v/>
      </c>
      <c r="AA29" s="85" t="inlineStr">
        <is>
          <t>PR%</t>
        </is>
      </c>
      <c r="AB29" s="17" t="n"/>
      <c r="AC29" s="14" t="n"/>
      <c r="AD29" s="14" t="n"/>
      <c r="AE29" s="14" t="n"/>
      <c r="AF29" s="14" t="n"/>
      <c r="AG29" s="14" t="n"/>
      <c r="AH29" s="14" t="n"/>
      <c r="AI29" s="15" t="n"/>
      <c r="AJ29" s="82">
        <f>IF($AP27=0,0,(AJ28/$AP27)*100)</f>
        <v/>
      </c>
      <c r="AK29" s="83">
        <f>IF($AP27=0,0,(AK28/$AP27)*100)</f>
        <v/>
      </c>
      <c r="AL29" s="83">
        <f>IF($AP27=0,0,(AL28/$AP27)*100)</f>
        <v/>
      </c>
      <c r="AM29" s="83">
        <f>IF($AP27=0,0,(AM28/$AP27)*100)</f>
        <v/>
      </c>
      <c r="AN29" s="83">
        <f>IF($AP27=0,0,(AN28/$AP27)*100)</f>
        <v/>
      </c>
      <c r="AO29" s="84">
        <f>IF($AP27=0,0,(AO28/$AP27)*100)</f>
        <v/>
      </c>
      <c r="AP29" s="85" t="inlineStr">
        <is>
          <t>PR%</t>
        </is>
      </c>
      <c r="AQ29" s="17" t="n"/>
      <c r="AR29" s="14" t="n"/>
      <c r="AS29" s="14" t="n"/>
      <c r="AT29" s="14" t="n"/>
      <c r="AU29" s="14" t="n"/>
      <c r="AV29" s="14" t="n"/>
      <c r="AW29" s="14" t="n"/>
      <c r="AX29" s="14" t="n"/>
      <c r="AY29" s="15" t="n"/>
      <c r="AZ29" s="9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11" t="n"/>
    </row>
    <row r="30" ht="10.5" customHeight="1" s="111">
      <c r="A30" s="19" t="inlineStr">
        <is>
          <t>SET III</t>
        </is>
      </c>
      <c r="B30" s="1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5" t="n"/>
      <c r="U30" s="16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6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5" t="n"/>
      <c r="AZ30" s="9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11" t="n"/>
    </row>
    <row r="31" ht="10.5" customHeight="1" s="111">
      <c r="A31" s="16" t="n"/>
      <c r="B31" s="14" t="n"/>
      <c r="C31" s="14" t="n"/>
      <c r="D31" s="118">
        <f>D19</f>
        <v/>
      </c>
      <c r="J31" s="14" t="n"/>
      <c r="K31" s="14" t="n"/>
      <c r="L31" s="118">
        <f>L19</f>
        <v/>
      </c>
      <c r="R31" s="14" t="n"/>
      <c r="S31" s="14" t="n"/>
      <c r="T31" s="15" t="n"/>
      <c r="U31" s="23">
        <f>IF($B32="","",$B32)</f>
        <v/>
      </c>
      <c r="V31" s="24">
        <f>IF(U31="","",IF(U31=1,6,U31-1))</f>
        <v/>
      </c>
      <c r="W31" s="25">
        <f>IF(V31="","",IF(V31=1,6,V31-1))</f>
        <v/>
      </c>
      <c r="X31" s="25">
        <f>IF(W31="","",IF(W31=1,6,W31-1))</f>
        <v/>
      </c>
      <c r="Y31" s="25">
        <f>IF(X31="","",IF(X31=1,6,X31-1))</f>
        <v/>
      </c>
      <c r="Z31" s="26">
        <f>IF(Y31="","",IF(Y31=1,6,Y31-1))</f>
        <v/>
      </c>
      <c r="AA31" s="27" t="inlineStr">
        <is>
          <t>P</t>
        </is>
      </c>
      <c r="AB31" s="30" t="inlineStr">
        <is>
          <t>SET III</t>
        </is>
      </c>
      <c r="AC31" s="114" t="n"/>
      <c r="AD31" s="29">
        <f>IF(D33="","",MAX(D33:I38))</f>
        <v/>
      </c>
      <c r="AE31" s="14" t="n"/>
      <c r="AF31" s="14" t="n"/>
      <c r="AG31" s="14" t="n"/>
      <c r="AH31" s="14" t="n"/>
      <c r="AI31" s="15" t="n"/>
      <c r="AJ31" s="23">
        <f>IF($B32="","",$B32)</f>
        <v/>
      </c>
      <c r="AK31" s="24">
        <f>IF(AJ31="","",IF(AJ31=1,6,AJ31-1))</f>
        <v/>
      </c>
      <c r="AL31" s="25">
        <f>IF(AK31="","",IF(AK31=1,6,AK31-1))</f>
        <v/>
      </c>
      <c r="AM31" s="25">
        <f>IF(AL31="","",IF(AL31=1,6,AL31-1))</f>
        <v/>
      </c>
      <c r="AN31" s="25">
        <f>IF(AM31="","",IF(AM31=1,6,AM31-1))</f>
        <v/>
      </c>
      <c r="AO31" s="26">
        <f>IF(AN31="","",IF(AN31=1,6,AN31-1))</f>
        <v/>
      </c>
      <c r="AP31" s="27" t="inlineStr">
        <is>
          <t>P</t>
        </is>
      </c>
      <c r="AQ31" s="30" t="inlineStr">
        <is>
          <t>SET III</t>
        </is>
      </c>
      <c r="AR31" s="114" t="n"/>
      <c r="AS31" s="29">
        <f>IF(L33="","",MAX(L33:Q38))</f>
        <v/>
      </c>
      <c r="AT31" s="14" t="n"/>
      <c r="AU31" s="14" t="n"/>
      <c r="AV31" s="14" t="n"/>
      <c r="AW31" s="14" t="n"/>
      <c r="AX31" s="14" t="n"/>
      <c r="AY31" s="15" t="n"/>
      <c r="AZ31" s="9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11" t="n"/>
    </row>
    <row r="32" ht="10.5" customHeight="1" s="111">
      <c r="A32" s="30" t="inlineStr">
        <is>
          <t>P</t>
        </is>
      </c>
      <c r="B32" s="18" t="n"/>
      <c r="C32" s="14" t="n"/>
      <c r="D32" s="31" t="inlineStr">
        <is>
          <t>I</t>
        </is>
      </c>
      <c r="E32" s="31" t="inlineStr">
        <is>
          <t>II</t>
        </is>
      </c>
      <c r="F32" s="31" t="inlineStr">
        <is>
          <t>III</t>
        </is>
      </c>
      <c r="G32" s="31" t="inlineStr">
        <is>
          <t>IV</t>
        </is>
      </c>
      <c r="H32" s="31" t="inlineStr">
        <is>
          <t>V</t>
        </is>
      </c>
      <c r="I32" s="31" t="inlineStr">
        <is>
          <t>VI</t>
        </is>
      </c>
      <c r="J32" s="14" t="n"/>
      <c r="K32" s="14" t="n"/>
      <c r="L32" s="31" t="inlineStr">
        <is>
          <t>I</t>
        </is>
      </c>
      <c r="M32" s="31" t="inlineStr">
        <is>
          <t>II</t>
        </is>
      </c>
      <c r="N32" s="31" t="inlineStr">
        <is>
          <t>III</t>
        </is>
      </c>
      <c r="O32" s="31" t="inlineStr">
        <is>
          <t>IV</t>
        </is>
      </c>
      <c r="P32" s="31" t="inlineStr">
        <is>
          <t>V</t>
        </is>
      </c>
      <c r="Q32" s="31" t="inlineStr">
        <is>
          <t>VI</t>
        </is>
      </c>
      <c r="R32" s="14" t="n"/>
      <c r="S32" s="14" t="n"/>
      <c r="T32" s="15" t="n"/>
      <c r="U32" s="32" t="inlineStr">
        <is>
          <t>I</t>
        </is>
      </c>
      <c r="V32" s="33" t="inlineStr">
        <is>
          <t>II</t>
        </is>
      </c>
      <c r="W32" s="33" t="inlineStr">
        <is>
          <t>III</t>
        </is>
      </c>
      <c r="X32" s="33" t="inlineStr">
        <is>
          <t>IV</t>
        </is>
      </c>
      <c r="Y32" s="34" t="inlineStr">
        <is>
          <t>V</t>
        </is>
      </c>
      <c r="Z32" s="35" t="inlineStr">
        <is>
          <t>VI</t>
        </is>
      </c>
      <c r="AA32" s="18" t="inlineStr">
        <is>
          <t>TR</t>
        </is>
      </c>
      <c r="AB32" s="17" t="n"/>
      <c r="AC32" s="14" t="n"/>
      <c r="AD32" s="14" t="n"/>
      <c r="AE32" s="14" t="n"/>
      <c r="AF32" s="14" t="n"/>
      <c r="AG32" s="14" t="n"/>
      <c r="AH32" s="14" t="n"/>
      <c r="AI32" s="15" t="n"/>
      <c r="AJ32" s="32" t="inlineStr">
        <is>
          <t>I</t>
        </is>
      </c>
      <c r="AK32" s="33" t="inlineStr">
        <is>
          <t>II</t>
        </is>
      </c>
      <c r="AL32" s="33" t="inlineStr">
        <is>
          <t>III</t>
        </is>
      </c>
      <c r="AM32" s="33" t="inlineStr">
        <is>
          <t>IV</t>
        </is>
      </c>
      <c r="AN32" s="34" t="inlineStr">
        <is>
          <t>V</t>
        </is>
      </c>
      <c r="AO32" s="35" t="inlineStr">
        <is>
          <t>VI</t>
        </is>
      </c>
      <c r="AP32" s="18" t="inlineStr">
        <is>
          <t>TR</t>
        </is>
      </c>
      <c r="AQ32" s="17" t="n"/>
      <c r="AR32" s="14" t="n"/>
      <c r="AS32" s="14" t="n"/>
      <c r="AT32" s="14" t="n"/>
      <c r="AU32" s="14" t="n"/>
      <c r="AV32" s="14" t="n"/>
      <c r="AW32" s="14" t="n"/>
      <c r="AX32" s="14" t="n"/>
      <c r="AY32" s="15" t="n"/>
      <c r="AZ32" s="9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11" t="n"/>
    </row>
    <row r="33" ht="10.5" customHeight="1" s="111">
      <c r="A33" s="16" t="n"/>
      <c r="B33" s="14" t="n"/>
      <c r="C33" s="14" t="n"/>
      <c r="D33" s="41" t="n"/>
      <c r="E33" s="42" t="n"/>
      <c r="F33" s="42" t="n"/>
      <c r="G33" s="42" t="n"/>
      <c r="H33" s="42" t="n"/>
      <c r="I33" s="43" t="n"/>
      <c r="J33" s="14" t="n"/>
      <c r="K33" s="14" t="n"/>
      <c r="L33" s="41" t="n"/>
      <c r="M33" s="42" t="n"/>
      <c r="N33" s="42" t="n"/>
      <c r="O33" s="42" t="n"/>
      <c r="P33" s="42" t="n"/>
      <c r="Q33" s="43" t="n"/>
      <c r="R33" s="14" t="n"/>
      <c r="S33" s="14" t="n"/>
      <c r="T33" s="15" t="n"/>
      <c r="U33" s="44">
        <f>IF(D33="","",IF(UPPER(D33)="X","",D33))</f>
        <v/>
      </c>
      <c r="V33" s="45">
        <f>IF(E33="","",IF(UPPER(D33)="X",E33-1,E33-D33-1))</f>
        <v/>
      </c>
      <c r="W33" s="46">
        <f>IF(F33="","",F33-E33-1)</f>
        <v/>
      </c>
      <c r="X33" s="46">
        <f>IF(G33="","",G33-F33-1)</f>
        <v/>
      </c>
      <c r="Y33" s="46">
        <f>IF(H33="","",H33-G33-1)</f>
        <v/>
      </c>
      <c r="Z33" s="47">
        <f>IF(I33="","",I33-H33-1)</f>
        <v/>
      </c>
      <c r="AA33" s="48">
        <f>SUM(U33:Z33)</f>
        <v/>
      </c>
      <c r="AB33" s="17" t="n"/>
      <c r="AC33" s="14" t="n"/>
      <c r="AD33" s="14" t="n"/>
      <c r="AE33" s="14" t="n"/>
      <c r="AF33" s="14" t="n"/>
      <c r="AG33" s="14" t="n"/>
      <c r="AH33" s="14" t="n"/>
      <c r="AI33" s="15" t="n"/>
      <c r="AJ33" s="44">
        <f>IF(L33="","",IF(UPPER(L33)="X","",L33))</f>
        <v/>
      </c>
      <c r="AK33" s="45">
        <f>IF(M33="","",IF(UPPER(L33)="X",M33-1,M33-L33-1))</f>
        <v/>
      </c>
      <c r="AL33" s="46">
        <f>IF(N33="","",N33-M33-1)</f>
        <v/>
      </c>
      <c r="AM33" s="46">
        <f>IF(O33="","",O33-N33-1)</f>
        <v/>
      </c>
      <c r="AN33" s="46">
        <f>IF(P33="","",P33-O33-1)</f>
        <v/>
      </c>
      <c r="AO33" s="47">
        <f>IF(Q33="","",Q33-P33-1)</f>
        <v/>
      </c>
      <c r="AP33" s="48">
        <f>SUM(AJ33:AO33)</f>
        <v/>
      </c>
      <c r="AQ33" s="17" t="n"/>
      <c r="AR33" s="14" t="n"/>
      <c r="AS33" s="14" t="n"/>
      <c r="AT33" s="14" t="n"/>
      <c r="AU33" s="14" t="n"/>
      <c r="AV33" s="14" t="n"/>
      <c r="AW33" s="14" t="n"/>
      <c r="AX33" s="14" t="n"/>
      <c r="AY33" s="15" t="n"/>
      <c r="AZ33" s="9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11" t="n"/>
    </row>
    <row r="34" ht="10.5" customHeight="1" s="111">
      <c r="A34" s="16" t="n"/>
      <c r="B34" s="14" t="n"/>
      <c r="C34" s="14" t="n"/>
      <c r="D34" s="52" t="n"/>
      <c r="E34" s="14" t="n"/>
      <c r="F34" s="14" t="n"/>
      <c r="G34" s="14" t="n"/>
      <c r="H34" s="14" t="n"/>
      <c r="I34" s="53" t="n"/>
      <c r="J34" s="14" t="n"/>
      <c r="K34" s="14" t="n"/>
      <c r="L34" s="52" t="n"/>
      <c r="M34" s="14" t="n"/>
      <c r="N34" s="14" t="n"/>
      <c r="O34" s="14" t="n"/>
      <c r="P34" s="14" t="n"/>
      <c r="Q34" s="53" t="n"/>
      <c r="R34" s="14" t="n"/>
      <c r="S34" s="14" t="n"/>
      <c r="T34" s="15" t="n"/>
      <c r="U34" s="49">
        <f>IF(D34="","",D34-I33-1)</f>
        <v/>
      </c>
      <c r="V34" s="51">
        <f>IF(E34="","",E34-D34-1)</f>
        <v/>
      </c>
      <c r="W34" s="51">
        <f>IF(F34="","",F34-E34-1)</f>
        <v/>
      </c>
      <c r="X34" s="51">
        <f>IF(G34="","",G34-F34-1)</f>
        <v/>
      </c>
      <c r="Y34" s="51">
        <f>IF(H34="","",H34-G34-1)</f>
        <v/>
      </c>
      <c r="Z34" s="54">
        <f>IF(I34="","",I34-H34-1)</f>
        <v/>
      </c>
      <c r="AA34" s="55">
        <f>SUM(U34:Z34)</f>
        <v/>
      </c>
      <c r="AB34" s="17" t="n"/>
      <c r="AC34" s="14" t="n"/>
      <c r="AD34" s="14" t="n"/>
      <c r="AE34" s="14" t="n"/>
      <c r="AF34" s="14" t="n"/>
      <c r="AG34" s="14" t="n"/>
      <c r="AH34" s="14" t="n"/>
      <c r="AI34" s="15" t="n"/>
      <c r="AJ34" s="49">
        <f>IF(L34="","",L34-Q33-1)</f>
        <v/>
      </c>
      <c r="AK34" s="51">
        <f>IF(M34="","",M34-L34-1)</f>
        <v/>
      </c>
      <c r="AL34" s="51">
        <f>IF(N34="","",N34-M34-1)</f>
        <v/>
      </c>
      <c r="AM34" s="51">
        <f>IF(O34="","",O34-N34-1)</f>
        <v/>
      </c>
      <c r="AN34" s="51">
        <f>IF(P34="","",P34-O34-1)</f>
        <v/>
      </c>
      <c r="AO34" s="54">
        <f>IF(Q34="","",Q34-P34-1)</f>
        <v/>
      </c>
      <c r="AP34" s="55">
        <f>SUM(AJ34:AO34)</f>
        <v/>
      </c>
      <c r="AQ34" s="17" t="n"/>
      <c r="AR34" s="14" t="n"/>
      <c r="AS34" s="14" t="n"/>
      <c r="AT34" s="14" t="n"/>
      <c r="AU34" s="14" t="n"/>
      <c r="AV34" s="14" t="n"/>
      <c r="AW34" s="14" t="n"/>
      <c r="AX34" s="14" t="n"/>
      <c r="AY34" s="15" t="n"/>
      <c r="AZ34" s="9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11" t="n"/>
    </row>
    <row r="35" ht="10.5" customHeight="1" s="111">
      <c r="A35" s="16" t="n"/>
      <c r="B35" s="14" t="n"/>
      <c r="C35" s="14" t="n"/>
      <c r="D35" s="52" t="n"/>
      <c r="E35" s="14" t="n"/>
      <c r="F35" s="14" t="n"/>
      <c r="G35" s="14" t="n"/>
      <c r="H35" s="14" t="n"/>
      <c r="I35" s="53" t="n"/>
      <c r="J35" s="14" t="n"/>
      <c r="K35" s="14" t="n"/>
      <c r="L35" s="52" t="n"/>
      <c r="M35" s="14" t="n"/>
      <c r="N35" s="14" t="n"/>
      <c r="O35" s="14" t="n"/>
      <c r="P35" s="14" t="n"/>
      <c r="Q35" s="53" t="n"/>
      <c r="R35" s="14" t="n"/>
      <c r="S35" s="14" t="n"/>
      <c r="T35" s="15" t="n"/>
      <c r="U35" s="49">
        <f>IF(D35="","",D35-I34-1)</f>
        <v/>
      </c>
      <c r="V35" s="51">
        <f>IF(E35="","",E35-D35-1)</f>
        <v/>
      </c>
      <c r="W35" s="51">
        <f>IF(F35="","",F35-E35-1)</f>
        <v/>
      </c>
      <c r="X35" s="51">
        <f>IF(G35="","",G35-F35-1)</f>
        <v/>
      </c>
      <c r="Y35" s="51">
        <f>IF(H35="","",H35-G35-1)</f>
        <v/>
      </c>
      <c r="Z35" s="54">
        <f>IF(I35="","",I35-H35-1)</f>
        <v/>
      </c>
      <c r="AA35" s="55">
        <f>SUM(U35:Z35)</f>
        <v/>
      </c>
      <c r="AB35" s="17" t="n"/>
      <c r="AC35" s="14" t="n"/>
      <c r="AD35" s="14" t="n"/>
      <c r="AE35" s="14" t="n"/>
      <c r="AF35" s="14" t="n"/>
      <c r="AG35" s="14" t="n"/>
      <c r="AH35" s="14" t="n"/>
      <c r="AI35" s="15" t="n"/>
      <c r="AJ35" s="49">
        <f>IF(L35="","",L35-Q34-1)</f>
        <v/>
      </c>
      <c r="AK35" s="51">
        <f>IF(M35="","",M35-L35-1)</f>
        <v/>
      </c>
      <c r="AL35" s="51">
        <f>IF(N35="","",N35-M35-1)</f>
        <v/>
      </c>
      <c r="AM35" s="51">
        <f>IF(O35="","",O35-N35-1)</f>
        <v/>
      </c>
      <c r="AN35" s="51">
        <f>IF(P35="","",P35-O35-1)</f>
        <v/>
      </c>
      <c r="AO35" s="54">
        <f>IF(Q35="","",Q35-P35-1)</f>
        <v/>
      </c>
      <c r="AP35" s="55">
        <f>SUM(AJ35:AO35)</f>
        <v/>
      </c>
      <c r="AQ35" s="17" t="n"/>
      <c r="AR35" s="14" t="n"/>
      <c r="AS35" s="14" t="n"/>
      <c r="AT35" s="14" t="n"/>
      <c r="AU35" s="14" t="n"/>
      <c r="AV35" s="14" t="n"/>
      <c r="AW35" s="14" t="n"/>
      <c r="AX35" s="14" t="n"/>
      <c r="AY35" s="15" t="n"/>
      <c r="AZ35" s="9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11" t="n"/>
    </row>
    <row r="36" ht="10.5" customHeight="1" s="111">
      <c r="A36" s="16" t="n"/>
      <c r="B36" s="14" t="n"/>
      <c r="C36" s="14" t="n"/>
      <c r="D36" s="52" t="n"/>
      <c r="E36" s="14" t="n"/>
      <c r="F36" s="14" t="n"/>
      <c r="G36" s="14" t="n"/>
      <c r="H36" s="14" t="n"/>
      <c r="I36" s="53" t="n"/>
      <c r="J36" s="14" t="n"/>
      <c r="K36" s="14" t="n"/>
      <c r="L36" s="52" t="n"/>
      <c r="M36" s="14" t="n"/>
      <c r="N36" s="14" t="n"/>
      <c r="O36" s="14" t="n"/>
      <c r="P36" s="14" t="n"/>
      <c r="Q36" s="53" t="n"/>
      <c r="R36" s="14" t="n"/>
      <c r="S36" s="14" t="n"/>
      <c r="T36" s="15" t="n"/>
      <c r="U36" s="49">
        <f>IF(D36="","",D36-I35-1)</f>
        <v/>
      </c>
      <c r="V36" s="51">
        <f>IF(E36="","",E36-D36-1)</f>
        <v/>
      </c>
      <c r="W36" s="51">
        <f>IF(F36="","",F36-E36-1)</f>
        <v/>
      </c>
      <c r="X36" s="51">
        <f>IF(G36="","",G36-F36-1)</f>
        <v/>
      </c>
      <c r="Y36" s="51">
        <f>IF(H36="","",H36-G36-1)</f>
        <v/>
      </c>
      <c r="Z36" s="54">
        <f>IF(I36="","",I36-H36-1)</f>
        <v/>
      </c>
      <c r="AA36" s="58">
        <f>SUM(U36:Z36)</f>
        <v/>
      </c>
      <c r="AB36" s="17" t="n"/>
      <c r="AC36" s="14" t="n"/>
      <c r="AD36" s="14" t="n"/>
      <c r="AE36" s="14" t="n"/>
      <c r="AF36" s="14" t="n"/>
      <c r="AG36" s="14" t="n"/>
      <c r="AH36" s="14" t="n"/>
      <c r="AI36" s="15" t="n"/>
      <c r="AJ36" s="49">
        <f>IF(L36="","",L36-Q35-1)</f>
        <v/>
      </c>
      <c r="AK36" s="51">
        <f>IF(M36="","",M36-L36-1)</f>
        <v/>
      </c>
      <c r="AL36" s="51">
        <f>IF(N36="","",N36-M36-1)</f>
        <v/>
      </c>
      <c r="AM36" s="51">
        <f>IF(O36="","",O36-N36-1)</f>
        <v/>
      </c>
      <c r="AN36" s="51">
        <f>IF(P36="","",P36-O36-1)</f>
        <v/>
      </c>
      <c r="AO36" s="54">
        <f>IF(Q36="","",Q36-P36-1)</f>
        <v/>
      </c>
      <c r="AP36" s="58">
        <f>SUM(AJ36:AO36)</f>
        <v/>
      </c>
      <c r="AQ36" s="17" t="n"/>
      <c r="AR36" s="14" t="n"/>
      <c r="AS36" s="14" t="n"/>
      <c r="AT36" s="14" t="n"/>
      <c r="AU36" s="14" t="n"/>
      <c r="AV36" s="14" t="n"/>
      <c r="AW36" s="14" t="n"/>
      <c r="AX36" s="14" t="n"/>
      <c r="AY36" s="15" t="n"/>
      <c r="AZ36" s="9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11" t="n"/>
    </row>
    <row r="37" ht="10.5" customHeight="1" s="111">
      <c r="A37" s="16" t="n"/>
      <c r="B37" s="14" t="n"/>
      <c r="C37" s="14" t="n"/>
      <c r="D37" s="52" t="n"/>
      <c r="E37" s="14" t="n"/>
      <c r="F37" s="14" t="n"/>
      <c r="G37" s="14" t="n"/>
      <c r="H37" s="14" t="n"/>
      <c r="I37" s="53" t="n"/>
      <c r="J37" s="14" t="n"/>
      <c r="K37" s="14" t="n"/>
      <c r="L37" s="52" t="n"/>
      <c r="M37" s="14" t="n"/>
      <c r="N37" s="14" t="n"/>
      <c r="O37" s="14" t="n"/>
      <c r="P37" s="14" t="n"/>
      <c r="Q37" s="53" t="n"/>
      <c r="R37" s="14" t="n"/>
      <c r="S37" s="14" t="n"/>
      <c r="T37" s="15" t="n"/>
      <c r="U37" s="49">
        <f>IF(D37="","",D37-I36-1)</f>
        <v/>
      </c>
      <c r="V37" s="51">
        <f>IF(E37="","",E37-D37-1)</f>
        <v/>
      </c>
      <c r="W37" s="51">
        <f>IF(F37="","",F37-E37-1)</f>
        <v/>
      </c>
      <c r="X37" s="51">
        <f>IF(G37="","",G37-F37-1)</f>
        <v/>
      </c>
      <c r="Y37" s="51">
        <f>IF(H37="","",H37-G37-1)</f>
        <v/>
      </c>
      <c r="Z37" s="54">
        <f>IF(I37="","",I37-H37-1)</f>
        <v/>
      </c>
      <c r="AA37" s="55">
        <f>SUM(U37:Z37)</f>
        <v/>
      </c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49">
        <f>IF(L37="","",L37-Q36-1)</f>
        <v/>
      </c>
      <c r="AK37" s="51">
        <f>IF(M37="","",M37-L37-1)</f>
        <v/>
      </c>
      <c r="AL37" s="51">
        <f>IF(N37="","",N37-M37-1)</f>
        <v/>
      </c>
      <c r="AM37" s="51">
        <f>IF(O37="","",O37-N37-1)</f>
        <v/>
      </c>
      <c r="AN37" s="51">
        <f>IF(P37="","",P37-O37-1)</f>
        <v/>
      </c>
      <c r="AO37" s="54">
        <f>IF(Q37="","",Q37-P37-1)</f>
        <v/>
      </c>
      <c r="AP37" s="55">
        <f>SUM(AJ37:AO37)</f>
        <v/>
      </c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5" t="n"/>
      <c r="AZ37" s="9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11" t="n"/>
    </row>
    <row r="38" ht="10.5" customHeight="1" s="111">
      <c r="A38" s="16" t="n"/>
      <c r="B38" s="14" t="n"/>
      <c r="C38" s="14" t="n"/>
      <c r="D38" s="64" t="n"/>
      <c r="E38" s="65" t="n"/>
      <c r="F38" s="65" t="n"/>
      <c r="G38" s="65" t="n"/>
      <c r="H38" s="65" t="n"/>
      <c r="I38" s="45" t="n"/>
      <c r="J38" s="14" t="n"/>
      <c r="K38" s="14" t="n"/>
      <c r="L38" s="64" t="n"/>
      <c r="M38" s="65" t="n"/>
      <c r="N38" s="65" t="n"/>
      <c r="O38" s="65" t="n"/>
      <c r="P38" s="65" t="n"/>
      <c r="Q38" s="45" t="n"/>
      <c r="R38" s="14" t="n"/>
      <c r="S38" s="14" t="n"/>
      <c r="T38" s="15" t="n"/>
      <c r="U38" s="66">
        <f>IF(D38="","",D38-I37-1)</f>
        <v/>
      </c>
      <c r="V38" s="67">
        <f>IF(E38="","",E38-D38-1)</f>
        <v/>
      </c>
      <c r="W38" s="67">
        <f>IF(F38="","",F38-E38-1)</f>
        <v/>
      </c>
      <c r="X38" s="67">
        <f>IF(G38="","",G38-F38-1)</f>
        <v/>
      </c>
      <c r="Y38" s="67">
        <f>IF(H38="","",H38-G38-1)</f>
        <v/>
      </c>
      <c r="Z38" s="68">
        <f>IF(I38="","",I38-H38-1)</f>
        <v/>
      </c>
      <c r="AA38" s="69">
        <f>SUM(U38:Z38)</f>
        <v/>
      </c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66">
        <f>IF(L38="","",L38-Q37-1)</f>
        <v/>
      </c>
      <c r="AK38" s="67">
        <f>IF(M38="","",M38-L38-1)</f>
        <v/>
      </c>
      <c r="AL38" s="67">
        <f>IF(N38="","",N38-M38-1)</f>
        <v/>
      </c>
      <c r="AM38" s="67">
        <f>IF(O38="","",O38-N38-1)</f>
        <v/>
      </c>
      <c r="AN38" s="67">
        <f>IF(P38="","",P38-O38-1)</f>
        <v/>
      </c>
      <c r="AO38" s="68">
        <f>IF(Q38="","",Q38-P38-1)</f>
        <v/>
      </c>
      <c r="AP38" s="69">
        <f>SUM(AJ38:AO38)</f>
        <v/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5" t="n"/>
      <c r="AZ38" s="9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11" t="n"/>
    </row>
    <row r="39" ht="10.5" customHeight="1" s="111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U39" s="73">
        <f>COUNTIF(U33:U38,"&gt;=0")</f>
        <v/>
      </c>
      <c r="V39" s="74">
        <f>COUNTIF(V33:V38,"&gt;=0")</f>
        <v/>
      </c>
      <c r="W39" s="74">
        <f>COUNTIF(W33:W38,"&gt;=0")</f>
        <v/>
      </c>
      <c r="X39" s="74">
        <f>COUNTIF(X33:X38,"&gt;=0")</f>
        <v/>
      </c>
      <c r="Y39" s="74">
        <f>COUNTIF(Y33:Y38,"&gt;=0")</f>
        <v/>
      </c>
      <c r="Z39" s="75">
        <f>COUNTIF(Z33:Z38,"&gt;=0")</f>
        <v/>
      </c>
      <c r="AA39" s="18">
        <f>SUM(AA33:AA38)</f>
        <v/>
      </c>
      <c r="AB39" s="77">
        <f>IF(OR(AD31=0,AD31=""),"",(AA39/AD31)*100)</f>
        <v/>
      </c>
      <c r="AC39" s="14" t="n"/>
      <c r="AD39" s="14" t="n"/>
      <c r="AE39" s="14" t="n"/>
      <c r="AF39" s="14" t="n"/>
      <c r="AG39" s="14" t="n"/>
      <c r="AH39" s="14" t="n"/>
      <c r="AI39" s="15" t="n"/>
      <c r="AJ39" s="73">
        <f>COUNTIF(AJ33:AJ38,"&gt;=0")</f>
        <v/>
      </c>
      <c r="AK39" s="74">
        <f>COUNTIF(AK33:AK38,"&gt;=0")</f>
        <v/>
      </c>
      <c r="AL39" s="74">
        <f>COUNTIF(AL33:AL38,"&gt;=0")</f>
        <v/>
      </c>
      <c r="AM39" s="74">
        <f>COUNTIF(AM33:AM38,"&gt;=0")</f>
        <v/>
      </c>
      <c r="AN39" s="74">
        <f>COUNTIF(AN33:AN38,"&gt;=0")</f>
        <v/>
      </c>
      <c r="AO39" s="75">
        <f>COUNTIF(AO33:AO38,"&gt;=0")</f>
        <v/>
      </c>
      <c r="AP39" s="18">
        <f>SUM(AP33:AP38)</f>
        <v/>
      </c>
      <c r="AQ39" s="77">
        <f>IF(OR(AS31=0,AS31=""),"",(AP39/AS31)*100)</f>
        <v/>
      </c>
      <c r="AR39" s="14" t="n"/>
      <c r="AS39" s="14" t="n"/>
      <c r="AT39" s="14" t="n"/>
      <c r="AU39" s="14" t="n"/>
      <c r="AV39" s="14" t="n"/>
      <c r="AW39" s="14" t="n"/>
      <c r="AX39" s="14" t="n"/>
      <c r="AY39" s="15" t="n"/>
      <c r="AZ39" s="9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11" t="n"/>
    </row>
    <row r="40" ht="10.5" customHeight="1" s="111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U40" s="78">
        <f>SUM(U33:U38)</f>
        <v/>
      </c>
      <c r="V40" s="79">
        <f>SUM(V33:V38)</f>
        <v/>
      </c>
      <c r="W40" s="79">
        <f>SUM(W33:W38)</f>
        <v/>
      </c>
      <c r="X40" s="79">
        <f>SUM(X33:X38)</f>
        <v/>
      </c>
      <c r="Y40" s="79">
        <f>SUM(Y33:Y38)</f>
        <v/>
      </c>
      <c r="Z40" s="80">
        <f>SUM(Z33:Z38)</f>
        <v/>
      </c>
      <c r="AA40" s="119" t="n"/>
      <c r="AB40" s="17" t="n"/>
      <c r="AC40" s="14" t="n"/>
      <c r="AD40" s="14" t="n"/>
      <c r="AE40" s="14" t="n"/>
      <c r="AF40" s="14" t="n"/>
      <c r="AG40" s="14" t="n"/>
      <c r="AH40" s="14" t="n"/>
      <c r="AI40" s="15" t="n"/>
      <c r="AJ40" s="78">
        <f>SUM(AJ33:AJ38)</f>
        <v/>
      </c>
      <c r="AK40" s="79">
        <f>SUM(AK33:AK38)</f>
        <v/>
      </c>
      <c r="AL40" s="79">
        <f>SUM(AL33:AL38)</f>
        <v/>
      </c>
      <c r="AM40" s="79">
        <f>SUM(AM33:AM38)</f>
        <v/>
      </c>
      <c r="AN40" s="79">
        <f>SUM(AN33:AN38)</f>
        <v/>
      </c>
      <c r="AO40" s="80">
        <f>SUM(AO33:AO38)</f>
        <v/>
      </c>
      <c r="AP40" s="119" t="n"/>
      <c r="AQ40" s="17" t="n"/>
      <c r="AR40" s="14" t="n"/>
      <c r="AS40" s="14" t="n"/>
      <c r="AT40" s="14" t="n"/>
      <c r="AU40" s="14" t="n"/>
      <c r="AV40" s="14" t="n"/>
      <c r="AW40" s="14" t="n"/>
      <c r="AX40" s="14" t="n"/>
      <c r="AY40" s="15" t="n"/>
      <c r="AZ40" s="9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11" t="n"/>
    </row>
    <row r="41" ht="10.5" customHeight="1" s="11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5" t="n"/>
      <c r="U41" s="82">
        <f>IF($AA39=0,0,(U40/$AA39)*100)</f>
        <v/>
      </c>
      <c r="V41" s="83">
        <f>IF($AA39=0,0,(V40/$AA39)*100)</f>
        <v/>
      </c>
      <c r="W41" s="83">
        <f>IF($AA39=0,0,(W40/$AA39)*100)</f>
        <v/>
      </c>
      <c r="X41" s="83">
        <f>IF($AA39=0,0,(X40/$AA39)*100)</f>
        <v/>
      </c>
      <c r="Y41" s="83">
        <f>IF($AA39=0,0,(Y40/$AA39)*100)</f>
        <v/>
      </c>
      <c r="Z41" s="84">
        <f>IF($AA39=0,0,(Z40/$AA39)*100)</f>
        <v/>
      </c>
      <c r="AA41" s="85" t="inlineStr">
        <is>
          <t>PR%</t>
        </is>
      </c>
      <c r="AB41" s="17" t="n"/>
      <c r="AC41" s="14" t="n"/>
      <c r="AD41" s="14" t="n"/>
      <c r="AE41" s="14" t="n"/>
      <c r="AF41" s="14" t="n"/>
      <c r="AG41" s="14" t="n"/>
      <c r="AH41" s="14" t="n"/>
      <c r="AI41" s="15" t="n"/>
      <c r="AJ41" s="82">
        <f>IF($AP39=0,0,(AJ40/$AP39)*100)</f>
        <v/>
      </c>
      <c r="AK41" s="83">
        <f>IF($AP39=0,0,(AK40/$AP39)*100)</f>
        <v/>
      </c>
      <c r="AL41" s="83">
        <f>IF($AP39=0,0,(AL40/$AP39)*100)</f>
        <v/>
      </c>
      <c r="AM41" s="83">
        <f>IF($AP39=0,0,(AM40/$AP39)*100)</f>
        <v/>
      </c>
      <c r="AN41" s="83">
        <f>IF($AP39=0,0,(AN40/$AP39)*100)</f>
        <v/>
      </c>
      <c r="AO41" s="84">
        <f>IF($AP39=0,0,(AO40/$AP39)*100)</f>
        <v/>
      </c>
      <c r="AP41" s="85" t="inlineStr">
        <is>
          <t>PR%</t>
        </is>
      </c>
      <c r="AQ41" s="17" t="n"/>
      <c r="AR41" s="14" t="n"/>
      <c r="AS41" s="14" t="n"/>
      <c r="AT41" s="14" t="n"/>
      <c r="AU41" s="14" t="n"/>
      <c r="AV41" s="14" t="n"/>
      <c r="AW41" s="14" t="n"/>
      <c r="AX41" s="14" t="n"/>
      <c r="AY41" s="15" t="n"/>
      <c r="AZ41" s="9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11" t="n"/>
    </row>
    <row r="42" ht="10.5" customHeight="1" s="111">
      <c r="A42" s="19" t="inlineStr">
        <is>
          <t>SET IV</t>
        </is>
      </c>
      <c r="B42" s="1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5" t="n"/>
      <c r="U42" s="16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6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5" t="n"/>
      <c r="AZ42" s="9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11" t="n"/>
    </row>
    <row r="43" ht="10.5" customHeight="1" s="111">
      <c r="A43" s="16" t="n"/>
      <c r="B43" s="14" t="n"/>
      <c r="C43" s="14" t="n"/>
      <c r="D43" s="118">
        <f>D31</f>
        <v/>
      </c>
      <c r="J43" s="14" t="n"/>
      <c r="K43" s="14" t="n"/>
      <c r="L43" s="118">
        <f>L31</f>
        <v/>
      </c>
      <c r="R43" s="14" t="n"/>
      <c r="S43" s="14" t="n"/>
      <c r="T43" s="15" t="n"/>
      <c r="U43" s="23">
        <f>IF($B44="","",$B44)</f>
        <v/>
      </c>
      <c r="V43" s="24">
        <f>IF(U43="","",IF(U43=1,6,U43-1))</f>
        <v/>
      </c>
      <c r="W43" s="25">
        <f>IF(V43="","",IF(V43=1,6,V43-1))</f>
        <v/>
      </c>
      <c r="X43" s="25">
        <f>IF(W43="","",IF(W43=1,6,W43-1))</f>
        <v/>
      </c>
      <c r="Y43" s="25">
        <f>IF(X43="","",IF(X43=1,6,X43-1))</f>
        <v/>
      </c>
      <c r="Z43" s="26">
        <f>IF(Y43="","",IF(Y43=1,6,Y43-1))</f>
        <v/>
      </c>
      <c r="AA43" s="27" t="inlineStr">
        <is>
          <t>P</t>
        </is>
      </c>
      <c r="AB43" s="30" t="inlineStr">
        <is>
          <t>SET IV</t>
        </is>
      </c>
      <c r="AC43" s="114" t="n"/>
      <c r="AD43" s="29">
        <f>IF(D45="","",MAX(D45:I50))</f>
        <v/>
      </c>
      <c r="AE43" s="14" t="n"/>
      <c r="AF43" s="14" t="n"/>
      <c r="AG43" s="14" t="n"/>
      <c r="AH43" s="14" t="n"/>
      <c r="AI43" s="15" t="n"/>
      <c r="AJ43" s="23">
        <f>IF($B44="","",$B44)</f>
        <v/>
      </c>
      <c r="AK43" s="24">
        <f>IF(AJ43="","",IF(AJ43=1,6,AJ43-1))</f>
        <v/>
      </c>
      <c r="AL43" s="25">
        <f>IF(AK43="","",IF(AK43=1,6,AK43-1))</f>
        <v/>
      </c>
      <c r="AM43" s="25">
        <f>IF(AL43="","",IF(AL43=1,6,AL43-1))</f>
        <v/>
      </c>
      <c r="AN43" s="25">
        <f>IF(AM43="","",IF(AM43=1,6,AM43-1))</f>
        <v/>
      </c>
      <c r="AO43" s="26">
        <f>IF(AN43="","",IF(AN43=1,6,AN43-1))</f>
        <v/>
      </c>
      <c r="AP43" s="27" t="inlineStr">
        <is>
          <t>P</t>
        </is>
      </c>
      <c r="AQ43" s="30" t="inlineStr">
        <is>
          <t>SET IV</t>
        </is>
      </c>
      <c r="AR43" s="114" t="n"/>
      <c r="AS43" s="29">
        <f>IF(L45="","",MAX(L45:Q50))</f>
        <v/>
      </c>
      <c r="AT43" s="14" t="n"/>
      <c r="AU43" s="14" t="n"/>
      <c r="AV43" s="14" t="n"/>
      <c r="AW43" s="14" t="n"/>
      <c r="AX43" s="14" t="n"/>
      <c r="AY43" s="15" t="n"/>
      <c r="AZ43" s="9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11" t="n"/>
    </row>
    <row r="44" ht="10.5" customHeight="1" s="111">
      <c r="A44" s="30" t="inlineStr">
        <is>
          <t>P</t>
        </is>
      </c>
      <c r="B44" s="18" t="n"/>
      <c r="C44" s="14" t="n"/>
      <c r="D44" s="31" t="inlineStr">
        <is>
          <t>I</t>
        </is>
      </c>
      <c r="E44" s="31" t="inlineStr">
        <is>
          <t>II</t>
        </is>
      </c>
      <c r="F44" s="31" t="inlineStr">
        <is>
          <t>III</t>
        </is>
      </c>
      <c r="G44" s="31" t="inlineStr">
        <is>
          <t>IV</t>
        </is>
      </c>
      <c r="H44" s="31" t="inlineStr">
        <is>
          <t>V</t>
        </is>
      </c>
      <c r="I44" s="31" t="inlineStr">
        <is>
          <t>VI</t>
        </is>
      </c>
      <c r="J44" s="14" t="n"/>
      <c r="K44" s="14" t="n"/>
      <c r="L44" s="31" t="inlineStr">
        <is>
          <t>I</t>
        </is>
      </c>
      <c r="M44" s="31" t="inlineStr">
        <is>
          <t>II</t>
        </is>
      </c>
      <c r="N44" s="31" t="inlineStr">
        <is>
          <t>III</t>
        </is>
      </c>
      <c r="O44" s="31" t="inlineStr">
        <is>
          <t>IV</t>
        </is>
      </c>
      <c r="P44" s="31" t="inlineStr">
        <is>
          <t>V</t>
        </is>
      </c>
      <c r="Q44" s="31" t="inlineStr">
        <is>
          <t>VI</t>
        </is>
      </c>
      <c r="R44" s="14" t="n"/>
      <c r="S44" s="14" t="n"/>
      <c r="T44" s="15" t="n"/>
      <c r="U44" s="32" t="inlineStr">
        <is>
          <t>I</t>
        </is>
      </c>
      <c r="V44" s="33" t="inlineStr">
        <is>
          <t>II</t>
        </is>
      </c>
      <c r="W44" s="33" t="inlineStr">
        <is>
          <t>III</t>
        </is>
      </c>
      <c r="X44" s="33" t="inlineStr">
        <is>
          <t>IV</t>
        </is>
      </c>
      <c r="Y44" s="34" t="inlineStr">
        <is>
          <t>V</t>
        </is>
      </c>
      <c r="Z44" s="35" t="inlineStr">
        <is>
          <t>VI</t>
        </is>
      </c>
      <c r="AA44" s="18" t="inlineStr">
        <is>
          <t>TR</t>
        </is>
      </c>
      <c r="AB44" s="17" t="n"/>
      <c r="AC44" s="14" t="n"/>
      <c r="AD44" s="14" t="n"/>
      <c r="AE44" s="14" t="n"/>
      <c r="AF44" s="14" t="n"/>
      <c r="AG44" s="14" t="n"/>
      <c r="AH44" s="14" t="n"/>
      <c r="AI44" s="15" t="n"/>
      <c r="AJ44" s="32" t="inlineStr">
        <is>
          <t>I</t>
        </is>
      </c>
      <c r="AK44" s="33" t="inlineStr">
        <is>
          <t>II</t>
        </is>
      </c>
      <c r="AL44" s="33" t="inlineStr">
        <is>
          <t>III</t>
        </is>
      </c>
      <c r="AM44" s="33" t="inlineStr">
        <is>
          <t>IV</t>
        </is>
      </c>
      <c r="AN44" s="34" t="inlineStr">
        <is>
          <t>V</t>
        </is>
      </c>
      <c r="AO44" s="35" t="inlineStr">
        <is>
          <t>VI</t>
        </is>
      </c>
      <c r="AP44" s="18" t="inlineStr">
        <is>
          <t>TR</t>
        </is>
      </c>
      <c r="AQ44" s="17" t="n"/>
      <c r="AR44" s="14" t="n"/>
      <c r="AS44" s="14" t="n"/>
      <c r="AT44" s="14" t="n"/>
      <c r="AU44" s="14" t="n"/>
      <c r="AV44" s="14" t="n"/>
      <c r="AW44" s="14" t="n"/>
      <c r="AX44" s="14" t="n"/>
      <c r="AY44" s="15" t="n"/>
      <c r="AZ44" s="9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11" t="n"/>
    </row>
    <row r="45" ht="10.5" customHeight="1" s="111">
      <c r="A45" s="16" t="n"/>
      <c r="B45" s="14" t="n"/>
      <c r="C45" s="14" t="n"/>
      <c r="D45" s="41" t="n"/>
      <c r="E45" s="42" t="n"/>
      <c r="F45" s="42" t="n"/>
      <c r="G45" s="42" t="n"/>
      <c r="H45" s="42" t="n"/>
      <c r="I45" s="43" t="n"/>
      <c r="J45" s="14" t="n"/>
      <c r="K45" s="14" t="n"/>
      <c r="L45" s="41" t="n"/>
      <c r="M45" s="42" t="n"/>
      <c r="N45" s="42" t="n"/>
      <c r="O45" s="42" t="n"/>
      <c r="P45" s="42" t="n"/>
      <c r="Q45" s="43" t="n"/>
      <c r="R45" s="14" t="n"/>
      <c r="S45" s="14" t="n"/>
      <c r="T45" s="15" t="n"/>
      <c r="U45" s="44">
        <f>IF(D45="","",IF(UPPER(D45)="X","",D45))</f>
        <v/>
      </c>
      <c r="V45" s="45">
        <f>IF(E45="","",IF(UPPER(D45)="X",E45-1,E45-D45-1))</f>
        <v/>
      </c>
      <c r="W45" s="46">
        <f>IF(F45="","",F45-E45-1)</f>
        <v/>
      </c>
      <c r="X45" s="46">
        <f>IF(G45="","",G45-F45-1)</f>
        <v/>
      </c>
      <c r="Y45" s="46">
        <f>IF(H45="","",H45-G45-1)</f>
        <v/>
      </c>
      <c r="Z45" s="47">
        <f>IF(I45="","",I45-H45-1)</f>
        <v/>
      </c>
      <c r="AA45" s="48">
        <f>SUM(U45:Z45)</f>
        <v/>
      </c>
      <c r="AB45" s="17" t="n"/>
      <c r="AC45" s="14" t="n"/>
      <c r="AD45" s="14" t="n"/>
      <c r="AE45" s="14" t="n"/>
      <c r="AF45" s="14" t="n"/>
      <c r="AG45" s="14" t="n"/>
      <c r="AH45" s="14" t="n"/>
      <c r="AI45" s="15" t="n"/>
      <c r="AJ45" s="44">
        <f>IF(L45="","",IF(UPPER(L45)="X","",L45))</f>
        <v/>
      </c>
      <c r="AK45" s="45">
        <f>IF(M45="","",IF(UPPER(L45)="X",M45-1,M45-L45-1))</f>
        <v/>
      </c>
      <c r="AL45" s="46">
        <f>IF(N45="","",N45-M45-1)</f>
        <v/>
      </c>
      <c r="AM45" s="46">
        <f>IF(O45="","",O45-N45-1)</f>
        <v/>
      </c>
      <c r="AN45" s="46">
        <f>IF(P45="","",P45-O45-1)</f>
        <v/>
      </c>
      <c r="AO45" s="47">
        <f>IF(Q45="","",Q45-P45-1)</f>
        <v/>
      </c>
      <c r="AP45" s="48">
        <f>SUM(AJ45:AO45)</f>
        <v/>
      </c>
      <c r="AQ45" s="17" t="n"/>
      <c r="AR45" s="14" t="n"/>
      <c r="AS45" s="14" t="n"/>
      <c r="AT45" s="14" t="n"/>
      <c r="AU45" s="14" t="n"/>
      <c r="AV45" s="14" t="n"/>
      <c r="AW45" s="14" t="n"/>
      <c r="AX45" s="14" t="n"/>
      <c r="AY45" s="15" t="n"/>
      <c r="AZ45" s="9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11" t="n"/>
    </row>
    <row r="46" ht="10.5" customHeight="1" s="111">
      <c r="A46" s="16" t="n"/>
      <c r="B46" s="14" t="n"/>
      <c r="C46" s="14" t="n"/>
      <c r="D46" s="52" t="n"/>
      <c r="E46" s="14" t="n"/>
      <c r="F46" s="14" t="n"/>
      <c r="G46" s="14" t="n"/>
      <c r="H46" s="14" t="n"/>
      <c r="I46" s="53" t="n"/>
      <c r="J46" s="14" t="n"/>
      <c r="K46" s="14" t="n"/>
      <c r="L46" s="52" t="n"/>
      <c r="M46" s="14" t="n"/>
      <c r="N46" s="14" t="n"/>
      <c r="O46" s="14" t="n"/>
      <c r="P46" s="14" t="n"/>
      <c r="Q46" s="53" t="n"/>
      <c r="R46" s="14" t="n"/>
      <c r="S46" s="14" t="n"/>
      <c r="T46" s="15" t="n"/>
      <c r="U46" s="49">
        <f>IF(D46="","",D46-I45-1)</f>
        <v/>
      </c>
      <c r="V46" s="51">
        <f>IF(E46="","",E46-D46-1)</f>
        <v/>
      </c>
      <c r="W46" s="51">
        <f>IF(F46="","",F46-E46-1)</f>
        <v/>
      </c>
      <c r="X46" s="51">
        <f>IF(G46="","",G46-F46-1)</f>
        <v/>
      </c>
      <c r="Y46" s="51">
        <f>IF(H46="","",H46-G46-1)</f>
        <v/>
      </c>
      <c r="Z46" s="54">
        <f>IF(I46="","",I46-H46-1)</f>
        <v/>
      </c>
      <c r="AA46" s="55">
        <f>SUM(U46:Z46)</f>
        <v/>
      </c>
      <c r="AB46" s="17" t="n"/>
      <c r="AC46" s="14" t="n"/>
      <c r="AD46" s="14" t="n"/>
      <c r="AE46" s="14" t="n"/>
      <c r="AF46" s="14" t="n"/>
      <c r="AG46" s="14" t="n"/>
      <c r="AH46" s="14" t="n"/>
      <c r="AI46" s="15" t="n"/>
      <c r="AJ46" s="49">
        <f>IF(L46="","",L46-Q45-1)</f>
        <v/>
      </c>
      <c r="AK46" s="51">
        <f>IF(M46="","",M46-L46-1)</f>
        <v/>
      </c>
      <c r="AL46" s="51">
        <f>IF(N46="","",N46-M46-1)</f>
        <v/>
      </c>
      <c r="AM46" s="51">
        <f>IF(O46="","",O46-N46-1)</f>
        <v/>
      </c>
      <c r="AN46" s="51">
        <f>IF(P46="","",P46-O46-1)</f>
        <v/>
      </c>
      <c r="AO46" s="54">
        <f>IF(Q46="","",Q46-P46-1)</f>
        <v/>
      </c>
      <c r="AP46" s="55">
        <f>SUM(AJ46:AO46)</f>
        <v/>
      </c>
      <c r="AQ46" s="17" t="n"/>
      <c r="AR46" s="14" t="n"/>
      <c r="AS46" s="14" t="n"/>
      <c r="AT46" s="14" t="n"/>
      <c r="AU46" s="14" t="n"/>
      <c r="AV46" s="14" t="n"/>
      <c r="AW46" s="14" t="n"/>
      <c r="AX46" s="14" t="n"/>
      <c r="AY46" s="15" t="n"/>
      <c r="AZ46" s="9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11" t="n"/>
    </row>
    <row r="47" ht="10.5" customHeight="1" s="111">
      <c r="A47" s="16" t="n"/>
      <c r="B47" s="14" t="n"/>
      <c r="C47" s="14" t="n"/>
      <c r="D47" s="52" t="n"/>
      <c r="E47" s="14" t="n"/>
      <c r="F47" s="14" t="n"/>
      <c r="G47" s="14" t="n"/>
      <c r="H47" s="14" t="n"/>
      <c r="I47" s="53" t="n"/>
      <c r="J47" s="14" t="n"/>
      <c r="K47" s="14" t="n"/>
      <c r="L47" s="52" t="n"/>
      <c r="M47" s="14" t="n"/>
      <c r="N47" s="14" t="n"/>
      <c r="O47" s="14" t="n"/>
      <c r="P47" s="14" t="n"/>
      <c r="Q47" s="53" t="n"/>
      <c r="R47" s="14" t="n"/>
      <c r="S47" s="14" t="n"/>
      <c r="T47" s="15" t="n"/>
      <c r="U47" s="49">
        <f>IF(D47="","",D47-I46-1)</f>
        <v/>
      </c>
      <c r="V47" s="51">
        <f>IF(E47="","",E47-D47-1)</f>
        <v/>
      </c>
      <c r="W47" s="51">
        <f>IF(F47="","",F47-E47-1)</f>
        <v/>
      </c>
      <c r="X47" s="51">
        <f>IF(G47="","",G47-F47-1)</f>
        <v/>
      </c>
      <c r="Y47" s="51">
        <f>IF(H47="","",H47-G47-1)</f>
        <v/>
      </c>
      <c r="Z47" s="54">
        <f>IF(I47="","",I47-H47-1)</f>
        <v/>
      </c>
      <c r="AA47" s="55">
        <f>SUM(U47:Z47)</f>
        <v/>
      </c>
      <c r="AB47" s="17" t="n"/>
      <c r="AC47" s="14" t="n"/>
      <c r="AD47" s="14" t="n"/>
      <c r="AE47" s="14" t="n"/>
      <c r="AF47" s="14" t="n"/>
      <c r="AG47" s="14" t="n"/>
      <c r="AH47" s="14" t="n"/>
      <c r="AI47" s="15" t="n"/>
      <c r="AJ47" s="49">
        <f>IF(L47="","",L47-Q46-1)</f>
        <v/>
      </c>
      <c r="AK47" s="51">
        <f>IF(M47="","",M47-L47-1)</f>
        <v/>
      </c>
      <c r="AL47" s="51">
        <f>IF(N47="","",N47-M47-1)</f>
        <v/>
      </c>
      <c r="AM47" s="51">
        <f>IF(O47="","",O47-N47-1)</f>
        <v/>
      </c>
      <c r="AN47" s="51">
        <f>IF(P47="","",P47-O47-1)</f>
        <v/>
      </c>
      <c r="AO47" s="54">
        <f>IF(Q47="","",Q47-P47-1)</f>
        <v/>
      </c>
      <c r="AP47" s="55">
        <f>SUM(AJ47:AO47)</f>
        <v/>
      </c>
      <c r="AQ47" s="17" t="n"/>
      <c r="AR47" s="14" t="n"/>
      <c r="AS47" s="14" t="n"/>
      <c r="AT47" s="14" t="n"/>
      <c r="AU47" s="14" t="n"/>
      <c r="AV47" s="14" t="n"/>
      <c r="AW47" s="14" t="n"/>
      <c r="AX47" s="14" t="n"/>
      <c r="AY47" s="15" t="n"/>
      <c r="AZ47" s="9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11" t="n"/>
    </row>
    <row r="48" ht="10.5" customHeight="1" s="111">
      <c r="A48" s="16" t="n"/>
      <c r="B48" s="14" t="n"/>
      <c r="C48" s="14" t="n"/>
      <c r="D48" s="52" t="n"/>
      <c r="E48" s="14" t="n"/>
      <c r="F48" s="14" t="n"/>
      <c r="G48" s="14" t="n"/>
      <c r="H48" s="14" t="n"/>
      <c r="I48" s="53" t="n"/>
      <c r="J48" s="14" t="n"/>
      <c r="K48" s="14" t="n"/>
      <c r="L48" s="52" t="n"/>
      <c r="M48" s="14" t="n"/>
      <c r="N48" s="14" t="n"/>
      <c r="O48" s="14" t="n"/>
      <c r="P48" s="14" t="n"/>
      <c r="Q48" s="53" t="n"/>
      <c r="R48" s="14" t="n"/>
      <c r="S48" s="14" t="n"/>
      <c r="T48" s="15" t="n"/>
      <c r="U48" s="49">
        <f>IF(D48="","",D48-I47-1)</f>
        <v/>
      </c>
      <c r="V48" s="51">
        <f>IF(E48="","",E48-D48-1)</f>
        <v/>
      </c>
      <c r="W48" s="51">
        <f>IF(F48="","",F48-E48-1)</f>
        <v/>
      </c>
      <c r="X48" s="51">
        <f>IF(G48="","",G48-F48-1)</f>
        <v/>
      </c>
      <c r="Y48" s="51">
        <f>IF(H48="","",H48-G48-1)</f>
        <v/>
      </c>
      <c r="Z48" s="54">
        <f>IF(I48="","",I48-H48-1)</f>
        <v/>
      </c>
      <c r="AA48" s="58">
        <f>SUM(U48:Z48)</f>
        <v/>
      </c>
      <c r="AB48" s="17" t="n"/>
      <c r="AC48" s="14" t="n"/>
      <c r="AD48" s="14" t="n"/>
      <c r="AE48" s="14" t="n"/>
      <c r="AF48" s="14" t="n"/>
      <c r="AG48" s="14" t="n"/>
      <c r="AH48" s="14" t="n"/>
      <c r="AI48" s="15" t="n"/>
      <c r="AJ48" s="49">
        <f>IF(L48="","",L48-Q47-1)</f>
        <v/>
      </c>
      <c r="AK48" s="51">
        <f>IF(M48="","",M48-L48-1)</f>
        <v/>
      </c>
      <c r="AL48" s="51">
        <f>IF(N48="","",N48-M48-1)</f>
        <v/>
      </c>
      <c r="AM48" s="51">
        <f>IF(O48="","",O48-N48-1)</f>
        <v/>
      </c>
      <c r="AN48" s="51">
        <f>IF(P48="","",P48-O48-1)</f>
        <v/>
      </c>
      <c r="AO48" s="54">
        <f>IF(Q48="","",Q48-P48-1)</f>
        <v/>
      </c>
      <c r="AP48" s="58">
        <f>SUM(AJ48:AO48)</f>
        <v/>
      </c>
      <c r="AQ48" s="17" t="n"/>
      <c r="AR48" s="14" t="n"/>
      <c r="AS48" s="14" t="n"/>
      <c r="AT48" s="14" t="n"/>
      <c r="AU48" s="14" t="n"/>
      <c r="AV48" s="14" t="n"/>
      <c r="AW48" s="14" t="n"/>
      <c r="AX48" s="14" t="n"/>
      <c r="AY48" s="15" t="n"/>
      <c r="AZ48" s="9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11" t="n"/>
    </row>
    <row r="49" ht="10.5" customHeight="1" s="111">
      <c r="A49" s="16" t="n"/>
      <c r="B49" s="14" t="n"/>
      <c r="C49" s="14" t="n"/>
      <c r="D49" s="52" t="n"/>
      <c r="E49" s="14" t="n"/>
      <c r="F49" s="14" t="n"/>
      <c r="G49" s="14" t="n"/>
      <c r="H49" s="14" t="n"/>
      <c r="I49" s="53" t="n"/>
      <c r="J49" s="14" t="n"/>
      <c r="K49" s="14" t="n"/>
      <c r="L49" s="52" t="n"/>
      <c r="M49" s="14" t="n"/>
      <c r="N49" s="14" t="n"/>
      <c r="O49" s="14" t="n"/>
      <c r="P49" s="14" t="n"/>
      <c r="Q49" s="53" t="n"/>
      <c r="R49" s="14" t="n"/>
      <c r="S49" s="14" t="n"/>
      <c r="T49" s="15" t="n"/>
      <c r="U49" s="49">
        <f>IF(D49="","",D49-I48-1)</f>
        <v/>
      </c>
      <c r="V49" s="51">
        <f>IF(E49="","",E49-D49-1)</f>
        <v/>
      </c>
      <c r="W49" s="51">
        <f>IF(F49="","",F49-E49-1)</f>
        <v/>
      </c>
      <c r="X49" s="51">
        <f>IF(G49="","",G49-F49-1)</f>
        <v/>
      </c>
      <c r="Y49" s="51">
        <f>IF(H49="","",H49-G49-1)</f>
        <v/>
      </c>
      <c r="Z49" s="54">
        <f>IF(I49="","",I49-H49-1)</f>
        <v/>
      </c>
      <c r="AA49" s="55">
        <f>SUM(U49:Z49)</f>
        <v/>
      </c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49">
        <f>IF(L49="","",L49-Q48-1)</f>
        <v/>
      </c>
      <c r="AK49" s="51">
        <f>IF(M49="","",M49-L49-1)</f>
        <v/>
      </c>
      <c r="AL49" s="51">
        <f>IF(N49="","",N49-M49-1)</f>
        <v/>
      </c>
      <c r="AM49" s="51">
        <f>IF(O49="","",O49-N49-1)</f>
        <v/>
      </c>
      <c r="AN49" s="51">
        <f>IF(P49="","",P49-O49-1)</f>
        <v/>
      </c>
      <c r="AO49" s="54">
        <f>IF(Q49="","",Q49-P49-1)</f>
        <v/>
      </c>
      <c r="AP49" s="55">
        <f>SUM(AJ49:AO49)</f>
        <v/>
      </c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5" t="n"/>
      <c r="AZ49" s="9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11" t="n"/>
    </row>
    <row r="50" ht="10.5" customHeight="1" s="111">
      <c r="A50" s="16" t="n"/>
      <c r="B50" s="14" t="n"/>
      <c r="C50" s="14" t="n"/>
      <c r="D50" s="64" t="n"/>
      <c r="E50" s="65" t="n"/>
      <c r="F50" s="65" t="n"/>
      <c r="G50" s="65" t="n"/>
      <c r="H50" s="65" t="n"/>
      <c r="I50" s="45" t="n"/>
      <c r="J50" s="14" t="n"/>
      <c r="K50" s="14" t="n"/>
      <c r="L50" s="64" t="n"/>
      <c r="M50" s="65" t="n"/>
      <c r="N50" s="65" t="n"/>
      <c r="O50" s="65" t="n"/>
      <c r="P50" s="65" t="n"/>
      <c r="Q50" s="45" t="n"/>
      <c r="R50" s="14" t="n"/>
      <c r="S50" s="14" t="n"/>
      <c r="T50" s="15" t="n"/>
      <c r="U50" s="66">
        <f>IF(D50="","",D50-I49-1)</f>
        <v/>
      </c>
      <c r="V50" s="67">
        <f>IF(E50="","",E50-D50-1)</f>
        <v/>
      </c>
      <c r="W50" s="67">
        <f>IF(F50="","",F50-E50-1)</f>
        <v/>
      </c>
      <c r="X50" s="67">
        <f>IF(G50="","",G50-F50-1)</f>
        <v/>
      </c>
      <c r="Y50" s="67">
        <f>IF(H50="","",H50-G50-1)</f>
        <v/>
      </c>
      <c r="Z50" s="68">
        <f>IF(I50="","",I50-H50-1)</f>
        <v/>
      </c>
      <c r="AA50" s="69">
        <f>SUM(U50:Z50)</f>
        <v/>
      </c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66">
        <f>IF(L50="","",L50-Q49-1)</f>
        <v/>
      </c>
      <c r="AK50" s="67">
        <f>IF(M50="","",M50-L50-1)</f>
        <v/>
      </c>
      <c r="AL50" s="67">
        <f>IF(N50="","",N50-M50-1)</f>
        <v/>
      </c>
      <c r="AM50" s="67">
        <f>IF(O50="","",O50-N50-1)</f>
        <v/>
      </c>
      <c r="AN50" s="67">
        <f>IF(P50="","",P50-O50-1)</f>
        <v/>
      </c>
      <c r="AO50" s="68">
        <f>IF(Q50="","",Q50-P50-1)</f>
        <v/>
      </c>
      <c r="AP50" s="69">
        <f>SUM(AJ50:AO50)</f>
        <v/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5" t="n"/>
      <c r="AZ50" s="9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11" t="n"/>
    </row>
    <row r="51" ht="10.5" customHeight="1" s="111">
      <c r="A51" s="16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5" t="n"/>
      <c r="U51" s="73">
        <f>COUNTIF(U45:U50,"&gt;=0")</f>
        <v/>
      </c>
      <c r="V51" s="74">
        <f>COUNTIF(V45:V50,"&gt;=0")</f>
        <v/>
      </c>
      <c r="W51" s="74">
        <f>COUNTIF(W45:W50,"&gt;=0")</f>
        <v/>
      </c>
      <c r="X51" s="74">
        <f>COUNTIF(X45:X50,"&gt;=0")</f>
        <v/>
      </c>
      <c r="Y51" s="74">
        <f>COUNTIF(Y45:Y50,"&gt;=0")</f>
        <v/>
      </c>
      <c r="Z51" s="75">
        <f>COUNTIF(Z45:Z50,"&gt;=0")</f>
        <v/>
      </c>
      <c r="AA51" s="18">
        <f>SUM(AA45:AA50)</f>
        <v/>
      </c>
      <c r="AB51" s="77">
        <f>IF(OR(AD43=0,AD43=""),"",(AA51/AD43)*100)</f>
        <v/>
      </c>
      <c r="AC51" s="14" t="n"/>
      <c r="AD51" s="14" t="n"/>
      <c r="AE51" s="14" t="n"/>
      <c r="AF51" s="14" t="n"/>
      <c r="AG51" s="14" t="n"/>
      <c r="AH51" s="14" t="n"/>
      <c r="AI51" s="15" t="n"/>
      <c r="AJ51" s="73">
        <f>COUNTIF(AJ45:AJ50,"&gt;=0")</f>
        <v/>
      </c>
      <c r="AK51" s="74">
        <f>COUNTIF(AK45:AK50,"&gt;=0")</f>
        <v/>
      </c>
      <c r="AL51" s="74">
        <f>COUNTIF(AL45:AL50,"&gt;=0")</f>
        <v/>
      </c>
      <c r="AM51" s="74">
        <f>COUNTIF(AM45:AM50,"&gt;=0")</f>
        <v/>
      </c>
      <c r="AN51" s="74">
        <f>COUNTIF(AN45:AN50,"&gt;=0")</f>
        <v/>
      </c>
      <c r="AO51" s="75">
        <f>COUNTIF(AO45:AO50,"&gt;=0")</f>
        <v/>
      </c>
      <c r="AP51" s="18">
        <f>SUM(AP45:AP50)</f>
        <v/>
      </c>
      <c r="AQ51" s="77">
        <f>IF(OR(AS43=0,AS43=""),"",(AP51/AS43)*100)</f>
        <v/>
      </c>
      <c r="AR51" s="14" t="n"/>
      <c r="AS51" s="14" t="n"/>
      <c r="AT51" s="14" t="n"/>
      <c r="AU51" s="14" t="n"/>
      <c r="AV51" s="14" t="n"/>
      <c r="AW51" s="14" t="n"/>
      <c r="AX51" s="14" t="n"/>
      <c r="AY51" s="15" t="n"/>
      <c r="AZ51" s="9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11" t="n"/>
    </row>
    <row r="52" ht="10.5" customHeight="1" s="111">
      <c r="A52" s="16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78">
        <f>SUM(U45:U50)</f>
        <v/>
      </c>
      <c r="V52" s="79">
        <f>SUM(V45:V50)</f>
        <v/>
      </c>
      <c r="W52" s="79">
        <f>SUM(W45:W50)</f>
        <v/>
      </c>
      <c r="X52" s="79">
        <f>SUM(X45:X50)</f>
        <v/>
      </c>
      <c r="Y52" s="79">
        <f>SUM(Y45:Y50)</f>
        <v/>
      </c>
      <c r="Z52" s="80">
        <f>SUM(Z45:Z50)</f>
        <v/>
      </c>
      <c r="AA52" s="119" t="n"/>
      <c r="AB52" s="17" t="n"/>
      <c r="AC52" s="14" t="n"/>
      <c r="AD52" s="14" t="n"/>
      <c r="AE52" s="14" t="n"/>
      <c r="AF52" s="14" t="n"/>
      <c r="AG52" s="14" t="n"/>
      <c r="AH52" s="14" t="n"/>
      <c r="AI52" s="15" t="n"/>
      <c r="AJ52" s="78">
        <f>SUM(AJ45:AJ50)</f>
        <v/>
      </c>
      <c r="AK52" s="79">
        <f>SUM(AK45:AK50)</f>
        <v/>
      </c>
      <c r="AL52" s="79">
        <f>SUM(AL45:AL50)</f>
        <v/>
      </c>
      <c r="AM52" s="79">
        <f>SUM(AM45:AM50)</f>
        <v/>
      </c>
      <c r="AN52" s="79">
        <f>SUM(AN45:AN50)</f>
        <v/>
      </c>
      <c r="AO52" s="80">
        <f>SUM(AO45:AO50)</f>
        <v/>
      </c>
      <c r="AP52" s="119" t="n"/>
      <c r="AQ52" s="17" t="n"/>
      <c r="AR52" s="14" t="n"/>
      <c r="AS52" s="14" t="n"/>
      <c r="AT52" s="14" t="n"/>
      <c r="AU52" s="14" t="n"/>
      <c r="AV52" s="14" t="n"/>
      <c r="AW52" s="14" t="n"/>
      <c r="AX52" s="14" t="n"/>
      <c r="AY52" s="15" t="n"/>
      <c r="AZ52" s="9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11" t="n"/>
    </row>
    <row r="53" ht="10.5" customHeight="1" s="111">
      <c r="A53" s="16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5" t="n"/>
      <c r="U53" s="82">
        <f>IF($AA51=0,0,(U52/$AA51)*100)</f>
        <v/>
      </c>
      <c r="V53" s="83">
        <f>IF($AA51=0,0,(V52/$AA51)*100)</f>
        <v/>
      </c>
      <c r="W53" s="83">
        <f>IF($AA51=0,0,(W52/$AA51)*100)</f>
        <v/>
      </c>
      <c r="X53" s="83">
        <f>IF($AA51=0,0,(X52/$AA51)*100)</f>
        <v/>
      </c>
      <c r="Y53" s="83">
        <f>IF($AA51=0,0,(Y52/$AA51)*100)</f>
        <v/>
      </c>
      <c r="Z53" s="84">
        <f>IF($AA51=0,0,(Z52/$AA51)*100)</f>
        <v/>
      </c>
      <c r="AA53" s="85" t="inlineStr">
        <is>
          <t>PR%</t>
        </is>
      </c>
      <c r="AB53" s="17" t="n"/>
      <c r="AC53" s="14" t="n"/>
      <c r="AD53" s="14" t="n"/>
      <c r="AE53" s="14" t="n"/>
      <c r="AF53" s="14" t="n"/>
      <c r="AG53" s="14" t="n"/>
      <c r="AH53" s="14" t="n"/>
      <c r="AI53" s="15" t="n"/>
      <c r="AJ53" s="82">
        <f>IF($AP51=0,0,(AJ52/$AP51)*100)</f>
        <v/>
      </c>
      <c r="AK53" s="83">
        <f>IF($AP51=0,0,(AK52/$AP51)*100)</f>
        <v/>
      </c>
      <c r="AL53" s="83">
        <f>IF($AP51=0,0,(AL52/$AP51)*100)</f>
        <v/>
      </c>
      <c r="AM53" s="83">
        <f>IF($AP51=0,0,(AM52/$AP51)*100)</f>
        <v/>
      </c>
      <c r="AN53" s="83">
        <f>IF($AP51=0,0,(AN52/$AP51)*100)</f>
        <v/>
      </c>
      <c r="AO53" s="84">
        <f>IF($AP51=0,0,(AO52/$AP51)*100)</f>
        <v/>
      </c>
      <c r="AP53" s="85" t="inlineStr">
        <is>
          <t>PR%</t>
        </is>
      </c>
      <c r="AQ53" s="17" t="n"/>
      <c r="AR53" s="14" t="n"/>
      <c r="AS53" s="14" t="n"/>
      <c r="AT53" s="14" t="n"/>
      <c r="AU53" s="14" t="n"/>
      <c r="AV53" s="14" t="n"/>
      <c r="AW53" s="14" t="n"/>
      <c r="AX53" s="14" t="n"/>
      <c r="AY53" s="15" t="n"/>
      <c r="AZ53" s="9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11" t="n"/>
    </row>
    <row r="54" ht="10.5" customHeight="1" s="111">
      <c r="A54" s="19" t="inlineStr">
        <is>
          <t>SET V</t>
        </is>
      </c>
      <c r="B54" s="1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5" t="n"/>
      <c r="U54" s="16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6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5" t="n"/>
      <c r="AZ54" s="9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11" t="n"/>
    </row>
    <row r="55" ht="10.5" customHeight="1" s="111">
      <c r="A55" s="16" t="n"/>
      <c r="B55" s="14" t="n"/>
      <c r="C55" s="14" t="n"/>
      <c r="D55" s="118">
        <f>D43</f>
        <v/>
      </c>
      <c r="J55" s="14" t="n"/>
      <c r="K55" s="14" t="n"/>
      <c r="L55" s="118">
        <f>L43</f>
        <v/>
      </c>
      <c r="R55" s="14" t="n"/>
      <c r="S55" s="14" t="n"/>
      <c r="T55" s="15" t="n"/>
      <c r="U55" s="23">
        <f>IF($B56="","",$B56)</f>
        <v/>
      </c>
      <c r="V55" s="24">
        <f>IF(U55="","",IF(U55=1,6,U55-1))</f>
        <v/>
      </c>
      <c r="W55" s="25">
        <f>IF(V55="","",IF(V55=1,6,V55-1))</f>
        <v/>
      </c>
      <c r="X55" s="25">
        <f>IF(W55="","",IF(W55=1,6,W55-1))</f>
        <v/>
      </c>
      <c r="Y55" s="25">
        <f>IF(X55="","",IF(X55=1,6,X55-1))</f>
        <v/>
      </c>
      <c r="Z55" s="26">
        <f>IF(Y55="","",IF(Y55=1,6,Y55-1))</f>
        <v/>
      </c>
      <c r="AA55" s="27" t="inlineStr">
        <is>
          <t>P</t>
        </is>
      </c>
      <c r="AB55" s="30" t="inlineStr">
        <is>
          <t>SET V</t>
        </is>
      </c>
      <c r="AC55" s="114" t="n"/>
      <c r="AD55" s="29">
        <f>IF(D57="","",MAX(D57:I62))</f>
        <v/>
      </c>
      <c r="AE55" s="14" t="n"/>
      <c r="AF55" s="14" t="n"/>
      <c r="AG55" s="14" t="n"/>
      <c r="AH55" s="14" t="n"/>
      <c r="AI55" s="15" t="n"/>
      <c r="AJ55" s="23">
        <f>IF($B56="","",$B56)</f>
        <v/>
      </c>
      <c r="AK55" s="24">
        <f>IF(AJ55="","",IF(AJ55=1,6,AJ55-1))</f>
        <v/>
      </c>
      <c r="AL55" s="25">
        <f>IF(AK55="","",IF(AK55=1,6,AK55-1))</f>
        <v/>
      </c>
      <c r="AM55" s="25">
        <f>IF(AL55="","",IF(AL55=1,6,AL55-1))</f>
        <v/>
      </c>
      <c r="AN55" s="25">
        <f>IF(AM55="","",IF(AM55=1,6,AM55-1))</f>
        <v/>
      </c>
      <c r="AO55" s="26">
        <f>IF(AN55="","",IF(AN55=1,6,AN55-1))</f>
        <v/>
      </c>
      <c r="AP55" s="27" t="inlineStr">
        <is>
          <t>P</t>
        </is>
      </c>
      <c r="AQ55" s="30" t="inlineStr">
        <is>
          <t>SET V</t>
        </is>
      </c>
      <c r="AR55" s="114" t="n"/>
      <c r="AS55" s="29">
        <f>IF(L57="","",MAX(L57:Q62))</f>
        <v/>
      </c>
      <c r="AT55" s="14" t="n"/>
      <c r="AU55" s="14" t="n"/>
      <c r="AV55" s="14" t="n"/>
      <c r="AW55" s="14" t="n"/>
      <c r="AX55" s="14" t="n"/>
      <c r="AY55" s="15" t="n"/>
      <c r="AZ55" s="9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11" t="n"/>
    </row>
    <row r="56" ht="10.5" customHeight="1" s="111">
      <c r="A56" s="30" t="inlineStr">
        <is>
          <t>P</t>
        </is>
      </c>
      <c r="B56" s="18" t="n"/>
      <c r="C56" s="14" t="n"/>
      <c r="D56" s="31" t="inlineStr">
        <is>
          <t>I</t>
        </is>
      </c>
      <c r="E56" s="31" t="inlineStr">
        <is>
          <t>II</t>
        </is>
      </c>
      <c r="F56" s="31" t="inlineStr">
        <is>
          <t>III</t>
        </is>
      </c>
      <c r="G56" s="31" t="inlineStr">
        <is>
          <t>IV</t>
        </is>
      </c>
      <c r="H56" s="31" t="inlineStr">
        <is>
          <t>V</t>
        </is>
      </c>
      <c r="I56" s="31" t="inlineStr">
        <is>
          <t>VI</t>
        </is>
      </c>
      <c r="J56" s="14" t="n"/>
      <c r="K56" s="14" t="n"/>
      <c r="L56" s="31" t="inlineStr">
        <is>
          <t>I</t>
        </is>
      </c>
      <c r="M56" s="31" t="inlineStr">
        <is>
          <t>II</t>
        </is>
      </c>
      <c r="N56" s="31" t="inlineStr">
        <is>
          <t>III</t>
        </is>
      </c>
      <c r="O56" s="31" t="inlineStr">
        <is>
          <t>IV</t>
        </is>
      </c>
      <c r="P56" s="31" t="inlineStr">
        <is>
          <t>V</t>
        </is>
      </c>
      <c r="Q56" s="31" t="inlineStr">
        <is>
          <t>VI</t>
        </is>
      </c>
      <c r="R56" s="14" t="n"/>
      <c r="S56" s="14" t="n"/>
      <c r="T56" s="15" t="n"/>
      <c r="U56" s="32" t="inlineStr">
        <is>
          <t>I</t>
        </is>
      </c>
      <c r="V56" s="33" t="inlineStr">
        <is>
          <t>II</t>
        </is>
      </c>
      <c r="W56" s="33" t="inlineStr">
        <is>
          <t>III</t>
        </is>
      </c>
      <c r="X56" s="33" t="inlineStr">
        <is>
          <t>IV</t>
        </is>
      </c>
      <c r="Y56" s="34" t="inlineStr">
        <is>
          <t>V</t>
        </is>
      </c>
      <c r="Z56" s="35" t="inlineStr">
        <is>
          <t>VI</t>
        </is>
      </c>
      <c r="AA56" s="18" t="inlineStr">
        <is>
          <t>TR</t>
        </is>
      </c>
      <c r="AB56" s="17" t="n"/>
      <c r="AC56" s="14" t="n"/>
      <c r="AD56" s="14" t="n"/>
      <c r="AE56" s="14" t="n"/>
      <c r="AF56" s="14" t="n"/>
      <c r="AG56" s="14" t="n"/>
      <c r="AH56" s="14" t="n"/>
      <c r="AI56" s="15" t="n"/>
      <c r="AJ56" s="32" t="inlineStr">
        <is>
          <t>I</t>
        </is>
      </c>
      <c r="AK56" s="33" t="inlineStr">
        <is>
          <t>II</t>
        </is>
      </c>
      <c r="AL56" s="33" t="inlineStr">
        <is>
          <t>III</t>
        </is>
      </c>
      <c r="AM56" s="33" t="inlineStr">
        <is>
          <t>IV</t>
        </is>
      </c>
      <c r="AN56" s="34" t="inlineStr">
        <is>
          <t>V</t>
        </is>
      </c>
      <c r="AO56" s="35" t="inlineStr">
        <is>
          <t>VI</t>
        </is>
      </c>
      <c r="AP56" s="18" t="inlineStr">
        <is>
          <t>TR</t>
        </is>
      </c>
      <c r="AQ56" s="17" t="n"/>
      <c r="AR56" s="14" t="n"/>
      <c r="AS56" s="14" t="n"/>
      <c r="AT56" s="14" t="n"/>
      <c r="AU56" s="14" t="n"/>
      <c r="AV56" s="14" t="n"/>
      <c r="AW56" s="14" t="n"/>
      <c r="AX56" s="14" t="n"/>
      <c r="AY56" s="15" t="n"/>
      <c r="AZ56" s="9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11" t="n"/>
    </row>
    <row r="57" ht="10.5" customHeight="1" s="111">
      <c r="A57" s="16" t="n"/>
      <c r="B57" s="14" t="n"/>
      <c r="C57" s="14" t="n"/>
      <c r="D57" s="41" t="n"/>
      <c r="E57" s="42" t="n"/>
      <c r="F57" s="42" t="n"/>
      <c r="G57" s="42" t="n"/>
      <c r="H57" s="42" t="n"/>
      <c r="I57" s="43" t="n"/>
      <c r="J57" s="14" t="n"/>
      <c r="K57" s="14" t="n"/>
      <c r="L57" s="41" t="n"/>
      <c r="M57" s="42" t="n"/>
      <c r="N57" s="42" t="n"/>
      <c r="O57" s="42" t="n"/>
      <c r="P57" s="42" t="n"/>
      <c r="Q57" s="43" t="n"/>
      <c r="R57" s="14" t="n"/>
      <c r="S57" s="14" t="n"/>
      <c r="T57" s="15" t="n"/>
      <c r="U57" s="44">
        <f>IF(D57="","",IF(UPPER(D57)="X","",D57))</f>
        <v/>
      </c>
      <c r="V57" s="45">
        <f>IF(E57="","",IF(UPPER(D57)="X",E57-1,E57-D57-1))</f>
        <v/>
      </c>
      <c r="W57" s="46">
        <f>IF(F57="","",F57-E57-1)</f>
        <v/>
      </c>
      <c r="X57" s="46">
        <f>IF(G57="","",G57-F57-1)</f>
        <v/>
      </c>
      <c r="Y57" s="46">
        <f>IF(H57="","",H57-G57-1)</f>
        <v/>
      </c>
      <c r="Z57" s="47">
        <f>IF(I57="","",I57-H57-1)</f>
        <v/>
      </c>
      <c r="AA57" s="48">
        <f>SUM(U57:Z57)</f>
        <v/>
      </c>
      <c r="AB57" s="17" t="n"/>
      <c r="AC57" s="14" t="n"/>
      <c r="AD57" s="14" t="n"/>
      <c r="AE57" s="14" t="n"/>
      <c r="AF57" s="14" t="n"/>
      <c r="AG57" s="14" t="n"/>
      <c r="AH57" s="14" t="n"/>
      <c r="AI57" s="15" t="n"/>
      <c r="AJ57" s="44">
        <f>IF(L57="","",IF(UPPER(L57)="X","",L57))</f>
        <v/>
      </c>
      <c r="AK57" s="45">
        <f>IF(M57="","",IF(UPPER(L57)="X",M57-1,M57-L57-1))</f>
        <v/>
      </c>
      <c r="AL57" s="46">
        <f>IF(N57="","",N57-M57-1)</f>
        <v/>
      </c>
      <c r="AM57" s="46">
        <f>IF(O57="","",O57-N57-1)</f>
        <v/>
      </c>
      <c r="AN57" s="46">
        <f>IF(P57="","",P57-O57-1)</f>
        <v/>
      </c>
      <c r="AO57" s="47">
        <f>IF(Q57="","",Q57-P57-1)</f>
        <v/>
      </c>
      <c r="AP57" s="48">
        <f>SUM(AJ57:AO57)</f>
        <v/>
      </c>
      <c r="AQ57" s="17" t="n"/>
      <c r="AR57" s="14" t="n"/>
      <c r="AS57" s="14" t="n"/>
      <c r="AT57" s="14" t="n"/>
      <c r="AU57" s="14" t="n"/>
      <c r="AV57" s="14" t="n"/>
      <c r="AW57" s="14" t="n"/>
      <c r="AX57" s="14" t="n"/>
      <c r="AY57" s="15" t="n"/>
      <c r="AZ57" s="9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11" t="n"/>
    </row>
    <row r="58" ht="10.5" customHeight="1" s="111">
      <c r="A58" s="16" t="n"/>
      <c r="B58" s="14" t="n"/>
      <c r="C58" s="14" t="n"/>
      <c r="D58" s="52" t="n"/>
      <c r="E58" s="14" t="n"/>
      <c r="F58" s="14" t="n"/>
      <c r="G58" s="14" t="n"/>
      <c r="H58" s="14" t="n"/>
      <c r="I58" s="53" t="n"/>
      <c r="J58" s="14" t="n"/>
      <c r="K58" s="14" t="n"/>
      <c r="L58" s="52" t="n"/>
      <c r="M58" s="14" t="n"/>
      <c r="N58" s="14" t="n"/>
      <c r="O58" s="14" t="n"/>
      <c r="P58" s="14" t="n"/>
      <c r="Q58" s="53" t="n"/>
      <c r="R58" s="14" t="n"/>
      <c r="S58" s="14" t="n"/>
      <c r="T58" s="15" t="n"/>
      <c r="U58" s="49">
        <f>IF(D58="","",D58-I57-1)</f>
        <v/>
      </c>
      <c r="V58" s="51">
        <f>IF(E58="","",E58-D58-1)</f>
        <v/>
      </c>
      <c r="W58" s="51">
        <f>IF(F58="","",F58-E58-1)</f>
        <v/>
      </c>
      <c r="X58" s="51">
        <f>IF(G58="","",G58-F58-1)</f>
        <v/>
      </c>
      <c r="Y58" s="51">
        <f>IF(H58="","",H58-G58-1)</f>
        <v/>
      </c>
      <c r="Z58" s="54">
        <f>IF(I58="","",I58-H58-1)</f>
        <v/>
      </c>
      <c r="AA58" s="55">
        <f>SUM(U58:Z58)</f>
        <v/>
      </c>
      <c r="AB58" s="17" t="n"/>
      <c r="AC58" s="14" t="n"/>
      <c r="AD58" s="14" t="n"/>
      <c r="AE58" s="14" t="n"/>
      <c r="AF58" s="14" t="n"/>
      <c r="AG58" s="14" t="n"/>
      <c r="AH58" s="14" t="n"/>
      <c r="AI58" s="15" t="n"/>
      <c r="AJ58" s="49">
        <f>IF(L58="","",L58-Q57-1)</f>
        <v/>
      </c>
      <c r="AK58" s="51">
        <f>IF(M58="","",M58-L58-1)</f>
        <v/>
      </c>
      <c r="AL58" s="51">
        <f>IF(N58="","",N58-M58-1)</f>
        <v/>
      </c>
      <c r="AM58" s="51">
        <f>IF(O58="","",O58-N58-1)</f>
        <v/>
      </c>
      <c r="AN58" s="51">
        <f>IF(P58="","",P58-O58-1)</f>
        <v/>
      </c>
      <c r="AO58" s="54">
        <f>IF(Q58="","",Q58-P58-1)</f>
        <v/>
      </c>
      <c r="AP58" s="55">
        <f>SUM(AJ58:AO58)</f>
        <v/>
      </c>
      <c r="AQ58" s="17" t="n"/>
      <c r="AR58" s="14" t="n"/>
      <c r="AS58" s="14" t="n"/>
      <c r="AT58" s="14" t="n"/>
      <c r="AU58" s="14" t="n"/>
      <c r="AV58" s="14" t="n"/>
      <c r="AW58" s="14" t="n"/>
      <c r="AX58" s="14" t="n"/>
      <c r="AY58" s="15" t="n"/>
      <c r="AZ58" s="9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11" t="n"/>
    </row>
    <row r="59" ht="10.5" customHeight="1" s="111">
      <c r="A59" s="16" t="n"/>
      <c r="B59" s="14" t="n"/>
      <c r="C59" s="14" t="n"/>
      <c r="D59" s="52" t="n"/>
      <c r="E59" s="14" t="n"/>
      <c r="F59" s="14" t="n"/>
      <c r="G59" s="14" t="n"/>
      <c r="H59" s="14" t="n"/>
      <c r="I59" s="53" t="n"/>
      <c r="J59" s="14" t="n"/>
      <c r="K59" s="14" t="n"/>
      <c r="L59" s="52" t="n"/>
      <c r="M59" s="14" t="n"/>
      <c r="N59" s="14" t="n"/>
      <c r="O59" s="14" t="n"/>
      <c r="P59" s="14" t="n"/>
      <c r="Q59" s="53" t="n"/>
      <c r="R59" s="14" t="n"/>
      <c r="S59" s="14" t="n"/>
      <c r="T59" s="15" t="n"/>
      <c r="U59" s="49">
        <f>IF(D59="","",D59-I58-1)</f>
        <v/>
      </c>
      <c r="V59" s="51">
        <f>IF(E59="","",E59-D59-1)</f>
        <v/>
      </c>
      <c r="W59" s="51">
        <f>IF(F59="","",F59-E59-1)</f>
        <v/>
      </c>
      <c r="X59" s="51">
        <f>IF(G59="","",G59-F59-1)</f>
        <v/>
      </c>
      <c r="Y59" s="51">
        <f>IF(H59="","",H59-G59-1)</f>
        <v/>
      </c>
      <c r="Z59" s="54">
        <f>IF(I59="","",I59-H59-1)</f>
        <v/>
      </c>
      <c r="AA59" s="55">
        <f>SUM(U59:Z59)</f>
        <v/>
      </c>
      <c r="AB59" s="17" t="n"/>
      <c r="AC59" s="14" t="n"/>
      <c r="AD59" s="14" t="n"/>
      <c r="AE59" s="14" t="n"/>
      <c r="AF59" s="14" t="n"/>
      <c r="AG59" s="14" t="n"/>
      <c r="AH59" s="14" t="n"/>
      <c r="AI59" s="15" t="n"/>
      <c r="AJ59" s="49">
        <f>IF(L59="","",L59-Q58-1)</f>
        <v/>
      </c>
      <c r="AK59" s="51">
        <f>IF(M59="","",M59-L59-1)</f>
        <v/>
      </c>
      <c r="AL59" s="51">
        <f>IF(N59="","",N59-M59-1)</f>
        <v/>
      </c>
      <c r="AM59" s="51">
        <f>IF(O59="","",O59-N59-1)</f>
        <v/>
      </c>
      <c r="AN59" s="51">
        <f>IF(P59="","",P59-O59-1)</f>
        <v/>
      </c>
      <c r="AO59" s="54">
        <f>IF(Q59="","",Q59-P59-1)</f>
        <v/>
      </c>
      <c r="AP59" s="55">
        <f>SUM(AJ59:AO59)</f>
        <v/>
      </c>
      <c r="AQ59" s="17" t="n"/>
      <c r="AR59" s="14" t="n"/>
      <c r="AS59" s="14" t="n"/>
      <c r="AT59" s="14" t="n"/>
      <c r="AU59" s="14" t="n"/>
      <c r="AV59" s="14" t="n"/>
      <c r="AW59" s="14" t="n"/>
      <c r="AX59" s="14" t="n"/>
      <c r="AY59" s="15" t="n"/>
      <c r="AZ59" s="9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11" t="n"/>
    </row>
    <row r="60" ht="10.5" customHeight="1" s="111">
      <c r="A60" s="16" t="n"/>
      <c r="B60" s="14" t="n"/>
      <c r="C60" s="14" t="n"/>
      <c r="D60" s="52" t="n"/>
      <c r="E60" s="14" t="n"/>
      <c r="F60" s="14" t="n"/>
      <c r="G60" s="14" t="n"/>
      <c r="H60" s="14" t="n"/>
      <c r="I60" s="53" t="n"/>
      <c r="J60" s="14" t="n"/>
      <c r="K60" s="14" t="n"/>
      <c r="L60" s="52" t="n"/>
      <c r="M60" s="14" t="n"/>
      <c r="N60" s="14" t="n"/>
      <c r="O60" s="14" t="n"/>
      <c r="P60" s="14" t="n"/>
      <c r="Q60" s="53" t="n"/>
      <c r="R60" s="14" t="n"/>
      <c r="S60" s="14" t="n"/>
      <c r="T60" s="15" t="n"/>
      <c r="U60" s="49">
        <f>IF(D60="","",D60-I59-1)</f>
        <v/>
      </c>
      <c r="V60" s="51">
        <f>IF(E60="","",E60-D60-1)</f>
        <v/>
      </c>
      <c r="W60" s="51">
        <f>IF(F60="","",F60-E60-1)</f>
        <v/>
      </c>
      <c r="X60" s="51">
        <f>IF(G60="","",G60-F60-1)</f>
        <v/>
      </c>
      <c r="Y60" s="51">
        <f>IF(H60="","",H60-G60-1)</f>
        <v/>
      </c>
      <c r="Z60" s="54">
        <f>IF(I60="","",I60-H60-1)</f>
        <v/>
      </c>
      <c r="AA60" s="58">
        <f>SUM(U60:Z60)</f>
        <v/>
      </c>
      <c r="AB60" s="17" t="n"/>
      <c r="AC60" s="14" t="n"/>
      <c r="AD60" s="14" t="n"/>
      <c r="AE60" s="14" t="n"/>
      <c r="AF60" s="14" t="n"/>
      <c r="AG60" s="14" t="n"/>
      <c r="AH60" s="14" t="n"/>
      <c r="AI60" s="15" t="n"/>
      <c r="AJ60" s="49">
        <f>IF(L60="","",L60-Q59-1)</f>
        <v/>
      </c>
      <c r="AK60" s="51">
        <f>IF(M60="","",M60-L60-1)</f>
        <v/>
      </c>
      <c r="AL60" s="51">
        <f>IF(N60="","",N60-M60-1)</f>
        <v/>
      </c>
      <c r="AM60" s="51">
        <f>IF(O60="","",O60-N60-1)</f>
        <v/>
      </c>
      <c r="AN60" s="51">
        <f>IF(P60="","",P60-O60-1)</f>
        <v/>
      </c>
      <c r="AO60" s="54">
        <f>IF(Q60="","",Q60-P60-1)</f>
        <v/>
      </c>
      <c r="AP60" s="58">
        <f>SUM(AJ60:AO60)</f>
        <v/>
      </c>
      <c r="AQ60" s="17" t="n"/>
      <c r="AR60" s="14" t="n"/>
      <c r="AS60" s="14" t="n"/>
      <c r="AT60" s="14" t="n"/>
      <c r="AU60" s="14" t="n"/>
      <c r="AV60" s="14" t="n"/>
      <c r="AW60" s="14" t="n"/>
      <c r="AX60" s="14" t="n"/>
      <c r="AY60" s="15" t="n"/>
      <c r="AZ60" s="9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11" t="n"/>
    </row>
    <row r="61" ht="10.5" customHeight="1" s="111">
      <c r="A61" s="16" t="n"/>
      <c r="B61" s="14" t="n"/>
      <c r="C61" s="14" t="n"/>
      <c r="D61" s="52" t="n"/>
      <c r="E61" s="14" t="n"/>
      <c r="F61" s="14" t="n"/>
      <c r="G61" s="14" t="n"/>
      <c r="H61" s="14" t="n"/>
      <c r="I61" s="53" t="n"/>
      <c r="J61" s="14" t="n"/>
      <c r="K61" s="14" t="n"/>
      <c r="L61" s="52" t="n"/>
      <c r="M61" s="14" t="n"/>
      <c r="N61" s="14" t="n"/>
      <c r="O61" s="14" t="n"/>
      <c r="P61" s="14" t="n"/>
      <c r="Q61" s="53" t="n"/>
      <c r="R61" s="14" t="n"/>
      <c r="S61" s="14" t="n"/>
      <c r="T61" s="15" t="n"/>
      <c r="U61" s="49">
        <f>IF(D61="","",D61-I60-1)</f>
        <v/>
      </c>
      <c r="V61" s="51">
        <f>IF(E61="","",E61-D61-1)</f>
        <v/>
      </c>
      <c r="W61" s="51">
        <f>IF(F61="","",F61-E61-1)</f>
        <v/>
      </c>
      <c r="X61" s="51">
        <f>IF(G61="","",G61-F61-1)</f>
        <v/>
      </c>
      <c r="Y61" s="51">
        <f>IF(H61="","",H61-G61-1)</f>
        <v/>
      </c>
      <c r="Z61" s="54">
        <f>IF(I61="","",I61-H61-1)</f>
        <v/>
      </c>
      <c r="AA61" s="55">
        <f>SUM(U61:Z61)</f>
        <v/>
      </c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49">
        <f>IF(L61="","",L61-Q60-1)</f>
        <v/>
      </c>
      <c r="AK61" s="51">
        <f>IF(M61="","",M61-L61-1)</f>
        <v/>
      </c>
      <c r="AL61" s="51">
        <f>IF(N61="","",N61-M61-1)</f>
        <v/>
      </c>
      <c r="AM61" s="51">
        <f>IF(O61="","",O61-N61-1)</f>
        <v/>
      </c>
      <c r="AN61" s="51">
        <f>IF(P61="","",P61-O61-1)</f>
        <v/>
      </c>
      <c r="AO61" s="54">
        <f>IF(Q61="","",Q61-P61-1)</f>
        <v/>
      </c>
      <c r="AP61" s="55">
        <f>SUM(AJ61:AO61)</f>
        <v/>
      </c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5" t="n"/>
      <c r="AZ61" s="9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11" t="n"/>
    </row>
    <row r="62" ht="10.5" customHeight="1" s="111">
      <c r="A62" s="16" t="n"/>
      <c r="B62" s="14" t="n"/>
      <c r="C62" s="14" t="n"/>
      <c r="D62" s="64" t="n"/>
      <c r="E62" s="65" t="n"/>
      <c r="F62" s="65" t="n"/>
      <c r="G62" s="65" t="n"/>
      <c r="H62" s="65" t="n"/>
      <c r="I62" s="45" t="n"/>
      <c r="J62" s="14" t="n"/>
      <c r="K62" s="14" t="n"/>
      <c r="L62" s="64" t="n"/>
      <c r="M62" s="65" t="n"/>
      <c r="N62" s="65" t="n"/>
      <c r="O62" s="65" t="n"/>
      <c r="P62" s="65" t="n"/>
      <c r="Q62" s="45" t="n"/>
      <c r="R62" s="14" t="n"/>
      <c r="S62" s="14" t="n"/>
      <c r="T62" s="15" t="n"/>
      <c r="U62" s="66">
        <f>IF(D62="","",D62-I61-1)</f>
        <v/>
      </c>
      <c r="V62" s="67">
        <f>IF(E62="","",E62-D62-1)</f>
        <v/>
      </c>
      <c r="W62" s="67">
        <f>IF(F62="","",F62-E62-1)</f>
        <v/>
      </c>
      <c r="X62" s="67">
        <f>IF(G62="","",G62-F62-1)</f>
        <v/>
      </c>
      <c r="Y62" s="67">
        <f>IF(H62="","",H62-G62-1)</f>
        <v/>
      </c>
      <c r="Z62" s="68">
        <f>IF(I62="","",I62-H62-1)</f>
        <v/>
      </c>
      <c r="AA62" s="69">
        <f>SUM(U62:Z62)</f>
        <v/>
      </c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66">
        <f>IF(L62="","",L62-Q61-1)</f>
        <v/>
      </c>
      <c r="AK62" s="67">
        <f>IF(M62="","",M62-L62-1)</f>
        <v/>
      </c>
      <c r="AL62" s="67">
        <f>IF(N62="","",N62-M62-1)</f>
        <v/>
      </c>
      <c r="AM62" s="67">
        <f>IF(O62="","",O62-N62-1)</f>
        <v/>
      </c>
      <c r="AN62" s="67">
        <f>IF(P62="","",P62-O62-1)</f>
        <v/>
      </c>
      <c r="AO62" s="68">
        <f>IF(Q62="","",Q62-P62-1)</f>
        <v/>
      </c>
      <c r="AP62" s="69">
        <f>SUM(AJ62:AO62)</f>
        <v/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5" t="n"/>
      <c r="AZ62" s="9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11" t="n"/>
    </row>
    <row r="63" ht="10.5" customHeight="1" s="111">
      <c r="A63" s="16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5" t="n"/>
      <c r="U63" s="73">
        <f>COUNTIF(U57:U62,"&gt;=0")</f>
        <v/>
      </c>
      <c r="V63" s="74">
        <f>COUNTIF(V57:V62,"&gt;=0")</f>
        <v/>
      </c>
      <c r="W63" s="74">
        <f>COUNTIF(W57:W62,"&gt;=0")</f>
        <v/>
      </c>
      <c r="X63" s="74">
        <f>COUNTIF(X57:X62,"&gt;=0")</f>
        <v/>
      </c>
      <c r="Y63" s="74">
        <f>COUNTIF(Y57:Y62,"&gt;=0")</f>
        <v/>
      </c>
      <c r="Z63" s="75">
        <f>COUNTIF(Z57:Z62,"&gt;=0")</f>
        <v/>
      </c>
      <c r="AA63" s="18">
        <f>SUM(AA57:AA62)</f>
        <v/>
      </c>
      <c r="AB63" s="77">
        <f>IF(OR(AD55=0,AD55=""),"",(AA63/AD55)*100)</f>
        <v/>
      </c>
      <c r="AC63" s="14" t="n"/>
      <c r="AD63" s="14" t="n"/>
      <c r="AE63" s="14" t="n"/>
      <c r="AF63" s="14" t="n"/>
      <c r="AG63" s="14" t="n"/>
      <c r="AH63" s="14" t="n"/>
      <c r="AI63" s="15" t="n"/>
      <c r="AJ63" s="73">
        <f>COUNTIF(AJ57:AJ62,"&gt;=0")</f>
        <v/>
      </c>
      <c r="AK63" s="74">
        <f>COUNTIF(AK57:AK62,"&gt;=0")</f>
        <v/>
      </c>
      <c r="AL63" s="74">
        <f>COUNTIF(AL57:AL62,"&gt;=0")</f>
        <v/>
      </c>
      <c r="AM63" s="74">
        <f>COUNTIF(AM57:AM62,"&gt;=0")</f>
        <v/>
      </c>
      <c r="AN63" s="74">
        <f>COUNTIF(AN57:AN62,"&gt;=0")</f>
        <v/>
      </c>
      <c r="AO63" s="75">
        <f>COUNTIF(AO57:AO62,"&gt;=0")</f>
        <v/>
      </c>
      <c r="AP63" s="18">
        <f>SUM(AP57:AP62)</f>
        <v/>
      </c>
      <c r="AQ63" s="77">
        <f>IF(OR(AS55=0,AS55=""),"",(AP63/AS55)*100)</f>
        <v/>
      </c>
      <c r="AR63" s="14" t="n"/>
      <c r="AS63" s="14" t="n"/>
      <c r="AT63" s="14" t="n"/>
      <c r="AU63" s="14" t="n"/>
      <c r="AV63" s="14" t="n"/>
      <c r="AW63" s="14" t="n"/>
      <c r="AX63" s="14" t="n"/>
      <c r="AY63" s="15" t="n"/>
      <c r="AZ63" s="9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11" t="n"/>
    </row>
    <row r="64" ht="10.5" customHeight="1" s="111">
      <c r="A64" s="16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5" t="n"/>
      <c r="U64" s="78">
        <f>SUM(U57:U62)</f>
        <v/>
      </c>
      <c r="V64" s="79">
        <f>SUM(V57:V62)</f>
        <v/>
      </c>
      <c r="W64" s="79">
        <f>SUM(W57:W62)</f>
        <v/>
      </c>
      <c r="X64" s="79">
        <f>SUM(X57:X62)</f>
        <v/>
      </c>
      <c r="Y64" s="79">
        <f>SUM(Y57:Y62)</f>
        <v/>
      </c>
      <c r="Z64" s="80">
        <f>SUM(Z57:Z62)</f>
        <v/>
      </c>
      <c r="AA64" s="119" t="n"/>
      <c r="AB64" s="17" t="n"/>
      <c r="AC64" s="14" t="n"/>
      <c r="AD64" s="14" t="n"/>
      <c r="AE64" s="14" t="n"/>
      <c r="AF64" s="14" t="n"/>
      <c r="AG64" s="14" t="n"/>
      <c r="AH64" s="14" t="n"/>
      <c r="AI64" s="15" t="n"/>
      <c r="AJ64" s="78">
        <f>SUM(AJ57:AJ62)</f>
        <v/>
      </c>
      <c r="AK64" s="79">
        <f>SUM(AK57:AK62)</f>
        <v/>
      </c>
      <c r="AL64" s="79">
        <f>SUM(AL57:AL62)</f>
        <v/>
      </c>
      <c r="AM64" s="79">
        <f>SUM(AM57:AM62)</f>
        <v/>
      </c>
      <c r="AN64" s="79">
        <f>SUM(AN57:AN62)</f>
        <v/>
      </c>
      <c r="AO64" s="80">
        <f>SUM(AO57:AO62)</f>
        <v/>
      </c>
      <c r="AP64" s="119" t="n"/>
      <c r="AQ64" s="17" t="n"/>
      <c r="AR64" s="14" t="n"/>
      <c r="AS64" s="14" t="n"/>
      <c r="AT64" s="14" t="n"/>
      <c r="AU64" s="14" t="n"/>
      <c r="AV64" s="14" t="n"/>
      <c r="AW64" s="14" t="n"/>
      <c r="AX64" s="14" t="n"/>
      <c r="AY64" s="15" t="n"/>
      <c r="AZ64" s="9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11" t="n"/>
    </row>
    <row r="65" ht="10.5" customHeight="1" s="111">
      <c r="A65" s="16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5" t="n"/>
      <c r="U65" s="82">
        <f>IF($AA63=0,0,(U64/$AA63)*100)</f>
        <v/>
      </c>
      <c r="V65" s="83">
        <f>IF($AA63=0,0,(V64/$AA63)*100)</f>
        <v/>
      </c>
      <c r="W65" s="83">
        <f>IF($AA63=0,0,(W64/$AA63)*100)</f>
        <v/>
      </c>
      <c r="X65" s="83">
        <f>IF($AA63=0,0,(X64/$AA63)*100)</f>
        <v/>
      </c>
      <c r="Y65" s="83">
        <f>IF($AA63=0,0,(Y64/$AA63)*100)</f>
        <v/>
      </c>
      <c r="Z65" s="84">
        <f>IF($AA63=0,0,(Z64/$AA63)*100)</f>
        <v/>
      </c>
      <c r="AA65" s="85" t="inlineStr">
        <is>
          <t>PR%</t>
        </is>
      </c>
      <c r="AB65" s="17" t="n"/>
      <c r="AC65" s="14" t="n"/>
      <c r="AD65" s="14" t="n"/>
      <c r="AE65" s="14" t="n"/>
      <c r="AF65" s="14" t="n"/>
      <c r="AG65" s="14" t="n"/>
      <c r="AH65" s="14" t="n"/>
      <c r="AI65" s="15" t="n"/>
      <c r="AJ65" s="82">
        <f>IF($AP63=0,0,(AJ64/$AP63)*100)</f>
        <v/>
      </c>
      <c r="AK65" s="83">
        <f>IF($AP63=0,0,(AK64/$AP63)*100)</f>
        <v/>
      </c>
      <c r="AL65" s="83">
        <f>IF($AP63=0,0,(AL64/$AP63)*100)</f>
        <v/>
      </c>
      <c r="AM65" s="83">
        <f>IF($AP63=0,0,(AM64/$AP63)*100)</f>
        <v/>
      </c>
      <c r="AN65" s="83">
        <f>IF($AP63=0,0,(AN64/$AP63)*100)</f>
        <v/>
      </c>
      <c r="AO65" s="84">
        <f>IF($AP63=0,0,(AO64/$AP63)*100)</f>
        <v/>
      </c>
      <c r="AP65" s="85" t="inlineStr">
        <is>
          <t>PR%</t>
        </is>
      </c>
      <c r="AQ65" s="17" t="n"/>
      <c r="AR65" s="14" t="n"/>
      <c r="AS65" s="14" t="n"/>
      <c r="AT65" s="14" t="n"/>
      <c r="AU65" s="14" t="n"/>
      <c r="AV65" s="14" t="n"/>
      <c r="AW65" s="14" t="n"/>
      <c r="AX65" s="14" t="n"/>
      <c r="AY65" s="15" t="n"/>
      <c r="AZ65" s="9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11" t="n"/>
    </row>
    <row r="66" ht="10.5" customHeight="1" s="111">
      <c r="A66" s="86" t="n"/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8" t="n"/>
      <c r="U66" s="86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8" t="n"/>
      <c r="AJ66" s="86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8" t="n"/>
      <c r="AZ66" s="89" t="n"/>
      <c r="BA66" s="90" t="n"/>
      <c r="BB66" s="90" t="n"/>
      <c r="BC66" s="90" t="n"/>
      <c r="BD66" s="90" t="n"/>
      <c r="BE66" s="90" t="n"/>
      <c r="BF66" s="90" t="n"/>
      <c r="BG66" s="90" t="n"/>
      <c r="BH66" s="90" t="n"/>
      <c r="BI66" s="90" t="n"/>
      <c r="BJ66" s="90" t="n"/>
      <c r="BK66" s="90" t="n"/>
      <c r="BL66" s="90" t="n"/>
      <c r="BM66" s="90" t="n"/>
      <c r="BN66" s="90" t="n"/>
      <c r="BO66" s="91" t="n"/>
    </row>
    <row r="67" ht="10.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 ht="10.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 ht="10.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</row>
    <row r="70" hidden="1" ht="10.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</row>
    <row r="71" hidden="1" ht="10.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</row>
    <row r="72" hidden="1" ht="10.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92" t="inlineStr">
        <is>
          <t>SET</t>
        </is>
      </c>
      <c r="T72" s="6" t="n"/>
      <c r="U72" s="92" t="inlineStr">
        <is>
          <t>TURNI PER ROTAZIONE</t>
        </is>
      </c>
      <c r="AA72" s="6" t="n"/>
      <c r="AB72" s="92" t="inlineStr">
        <is>
          <t>PUNTI PER ROTAZIONE</t>
        </is>
      </c>
      <c r="AH72" s="6" t="n"/>
      <c r="AI72" s="92" t="inlineStr">
        <is>
          <t>SET</t>
        </is>
      </c>
      <c r="AJ72" s="92" t="inlineStr">
        <is>
          <t>TURNI PER ROTAZIONE</t>
        </is>
      </c>
      <c r="AP72" s="6" t="n"/>
      <c r="AQ72" s="92" t="inlineStr">
        <is>
          <t>PUNTI PER ROTAZIONE</t>
        </is>
      </c>
      <c r="AW72" s="6" t="n"/>
      <c r="AX72" s="92" t="inlineStr">
        <is>
          <t>SET</t>
        </is>
      </c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</row>
    <row r="73" hidden="1" ht="10.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>
        <v>1</v>
      </c>
      <c r="V73" s="6" t="n">
        <v>2</v>
      </c>
      <c r="W73" s="6" t="n">
        <v>3</v>
      </c>
      <c r="X73" s="6" t="n">
        <v>4</v>
      </c>
      <c r="Y73" s="6" t="n">
        <v>5</v>
      </c>
      <c r="Z73" s="6" t="n">
        <v>6</v>
      </c>
      <c r="AA73" s="6" t="n"/>
      <c r="AB73" s="6" t="n">
        <v>1</v>
      </c>
      <c r="AC73" s="6" t="n">
        <v>2</v>
      </c>
      <c r="AD73" s="6" t="n">
        <v>3</v>
      </c>
      <c r="AE73" s="6" t="n">
        <v>4</v>
      </c>
      <c r="AF73" s="6" t="n">
        <v>5</v>
      </c>
      <c r="AG73" s="6" t="n">
        <v>6</v>
      </c>
      <c r="AH73" s="6" t="n"/>
      <c r="AI73" s="6" t="n"/>
      <c r="AJ73" s="6" t="n">
        <v>1</v>
      </c>
      <c r="AK73" s="6" t="n">
        <v>2</v>
      </c>
      <c r="AL73" s="6" t="n">
        <v>3</v>
      </c>
      <c r="AM73" s="6" t="n">
        <v>4</v>
      </c>
      <c r="AN73" s="6" t="n">
        <v>5</v>
      </c>
      <c r="AO73" s="6" t="n">
        <v>6</v>
      </c>
      <c r="AP73" s="6" t="n"/>
      <c r="AQ73" s="6" t="n">
        <v>1</v>
      </c>
      <c r="AR73" s="6" t="n">
        <v>2</v>
      </c>
      <c r="AS73" s="6" t="n">
        <v>3</v>
      </c>
      <c r="AT73" s="6" t="n">
        <v>4</v>
      </c>
      <c r="AU73" s="6" t="n">
        <v>5</v>
      </c>
      <c r="AV73" s="6" t="n">
        <v>6</v>
      </c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</row>
    <row r="74" hidden="1" ht="10.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inlineStr">
        <is>
          <t>I</t>
        </is>
      </c>
      <c r="T74" s="6" t="n"/>
      <c r="U74" s="6">
        <f>IF($D$9="",0,HLOOKUP(U$73,$U$7:$Z$16,9,FALSE))</f>
        <v/>
      </c>
      <c r="V74" s="6">
        <f>IF($D$9="",0,HLOOKUP(V$73,$U$7:$Z$16,9,FALSE))</f>
        <v/>
      </c>
      <c r="W74" s="6">
        <f>IF($D$9="",0,HLOOKUP(W$73,$U$7:$Z$16,9,FALSE))</f>
        <v/>
      </c>
      <c r="X74" s="6">
        <f>IF($D$9="",0,HLOOKUP(X$73,$U$7:$Z$16,9,FALSE))</f>
        <v/>
      </c>
      <c r="Y74" s="6">
        <f>IF($D$9="",0,HLOOKUP(Y$73,$U$7:$Z$16,9,FALSE))</f>
        <v/>
      </c>
      <c r="Z74" s="6">
        <f>IF($D$9="",0,HLOOKUP(Z$73,$U$7:$Z$16,9,FALSE))</f>
        <v/>
      </c>
      <c r="AA74" s="6" t="n"/>
      <c r="AB74" s="6">
        <f>IF($D$9="",0,HLOOKUP(AB$73,$U$7:$Z$16,10,FALSE))</f>
        <v/>
      </c>
      <c r="AC74" s="6">
        <f>IF($D$9="",0,HLOOKUP(AC$73,$U$7:$Z$16,10,FALSE))</f>
        <v/>
      </c>
      <c r="AD74" s="6">
        <f>IF($D$9="",0,HLOOKUP(AD$73,$U$7:$Z$16,10,FALSE))</f>
        <v/>
      </c>
      <c r="AE74" s="6">
        <f>IF($D$9="",0,HLOOKUP(AE$73,$U$7:$Z$16,10,FALSE))</f>
        <v/>
      </c>
      <c r="AF74" s="6">
        <f>IF($D$9="",0,HLOOKUP(AF$73,$U$7:$Z$16,10,FALSE))</f>
        <v/>
      </c>
      <c r="AG74" s="6">
        <f>IF($D$9="",0,HLOOKUP(AG$73,$U$7:$Z$16,10,FALSE))</f>
        <v/>
      </c>
      <c r="AH74" s="6" t="n"/>
      <c r="AI74" s="6" t="inlineStr">
        <is>
          <t>I</t>
        </is>
      </c>
      <c r="AJ74" s="6">
        <f>IF($L$9="",0,HLOOKUP(AJ$73,$AJ$7:$AO$16,9,FALSE))</f>
        <v/>
      </c>
      <c r="AK74" s="6">
        <f>IF($L$9="",0,HLOOKUP(AK$73,$AJ$7:$AO$16,9,FALSE))</f>
        <v/>
      </c>
      <c r="AL74" s="6">
        <f>IF($L$9="",0,HLOOKUP(AL$73,$AJ$7:$AO$16,9,FALSE))</f>
        <v/>
      </c>
      <c r="AM74" s="6">
        <f>IF($L$9="",0,HLOOKUP(AM$73,$AJ$7:$AO$16,9,FALSE))</f>
        <v/>
      </c>
      <c r="AN74" s="6">
        <f>IF($L$9="",0,HLOOKUP(AN$73,$AJ$7:$AO$16,9,FALSE))</f>
        <v/>
      </c>
      <c r="AO74" s="6">
        <f>IF($L$9="",0,HLOOKUP(AO$73,$AJ$7:$AO$16,9,FALSE))</f>
        <v/>
      </c>
      <c r="AP74" s="6" t="n"/>
      <c r="AQ74" s="6">
        <f>IF($L$9="",0,HLOOKUP(AQ$73,$AJ$7:$AO$16,10,FALSE))</f>
        <v/>
      </c>
      <c r="AR74" s="6">
        <f>IF($L$9="",0,HLOOKUP(AR$73,$AJ$7:$AO$16,10,FALSE))</f>
        <v/>
      </c>
      <c r="AS74" s="6">
        <f>IF($L$9="",0,HLOOKUP(AS$73,$AJ$7:$AO$16,10,FALSE))</f>
        <v/>
      </c>
      <c r="AT74" s="6">
        <f>IF($L$9="",0,HLOOKUP(AT$73,$AJ$7:$AO$16,10,FALSE))</f>
        <v/>
      </c>
      <c r="AU74" s="6">
        <f>IF($L$9="",0,HLOOKUP(AU$73,$AJ$7:$AO$16,10,FALSE))</f>
        <v/>
      </c>
      <c r="AV74" s="6">
        <f>IF($L$9="",0,HLOOKUP(AV$73,$AJ$7:$AO$16,10,FALSE))</f>
        <v/>
      </c>
      <c r="AW74" s="6" t="n"/>
      <c r="AX74" s="6" t="inlineStr">
        <is>
          <t>I</t>
        </is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 hidden="1" ht="10.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inlineStr">
        <is>
          <t>II</t>
        </is>
      </c>
      <c r="T75" s="6" t="n"/>
      <c r="U75" s="6">
        <f>IF($D$21="",0,HLOOKUP(U$73,$U$19:$Z$28,9,FALSE))</f>
        <v/>
      </c>
      <c r="V75" s="6">
        <f>IF($D$21="",0,HLOOKUP(V$73,$U$19:$Z$28,9,FALSE))</f>
        <v/>
      </c>
      <c r="W75" s="6">
        <f>IF($D$21="",0,HLOOKUP(W$73,$U$19:$Z$28,9,FALSE))</f>
        <v/>
      </c>
      <c r="X75" s="6">
        <f>IF($D$21="",0,HLOOKUP(X$73,$U$19:$Z$28,9,FALSE))</f>
        <v/>
      </c>
      <c r="Y75" s="6">
        <f>IF($D$21="",0,HLOOKUP(Y$73,$U$19:$Z$28,9,FALSE))</f>
        <v/>
      </c>
      <c r="Z75" s="6">
        <f>IF($D$21="",0,HLOOKUP(Z$73,$U$19:$Z$28,9,FALSE))</f>
        <v/>
      </c>
      <c r="AA75" s="6" t="n"/>
      <c r="AB75" s="6">
        <f>IF($D$21="",0,HLOOKUP(AB$73,$U$19:$Z$28,10,FALSE))</f>
        <v/>
      </c>
      <c r="AC75" s="6">
        <f>IF($D$21="",0,HLOOKUP(AC$73,$U$19:$Z$28,10,FALSE))</f>
        <v/>
      </c>
      <c r="AD75" s="6">
        <f>IF($D$21="",0,HLOOKUP(AD$73,$U$19:$Z$28,10,FALSE))</f>
        <v/>
      </c>
      <c r="AE75" s="6">
        <f>IF($D$21="",0,HLOOKUP(AE$73,$U$19:$Z$28,10,FALSE))</f>
        <v/>
      </c>
      <c r="AF75" s="6">
        <f>IF($D$21="",0,HLOOKUP(AF$73,$U$19:$Z$28,10,FALSE))</f>
        <v/>
      </c>
      <c r="AG75" s="6">
        <f>IF($D$21="",0,HLOOKUP(AG$73,$U$19:$Z$28,10,FALSE))</f>
        <v/>
      </c>
      <c r="AH75" s="6" t="n"/>
      <c r="AI75" s="6" t="inlineStr">
        <is>
          <t>II</t>
        </is>
      </c>
      <c r="AJ75" s="6">
        <f>IF($L$21="",0,HLOOKUP(AJ$73,$AJ$19:$AO$28,9,FALSE))</f>
        <v/>
      </c>
      <c r="AK75" s="6">
        <f>IF($L$21="",0,HLOOKUP(AK$73,$AJ$19:$AO$28,9,FALSE))</f>
        <v/>
      </c>
      <c r="AL75" s="6">
        <f>IF($L$21="",0,HLOOKUP(AL$73,$AJ$19:$AO$28,9,FALSE))</f>
        <v/>
      </c>
      <c r="AM75" s="6">
        <f>IF($L$21="",0,HLOOKUP(AM$73,$AJ$19:$AO$28,9,FALSE))</f>
        <v/>
      </c>
      <c r="AN75" s="6">
        <f>IF($L$21="",0,HLOOKUP(AN$73,$AJ$19:$AO$28,9,FALSE))</f>
        <v/>
      </c>
      <c r="AO75" s="6">
        <f>IF($L$21="",0,HLOOKUP(AO$73,$AJ$19:$AO$28,9,FALSE))</f>
        <v/>
      </c>
      <c r="AP75" s="6" t="n"/>
      <c r="AQ75" s="6">
        <f>IF($L$21="",0,HLOOKUP(AQ$73,$AJ$19:$AO$28,10,FALSE))</f>
        <v/>
      </c>
      <c r="AR75" s="6">
        <f>IF($L$21="",0,HLOOKUP(AR$73,$AJ$19:$AO$28,10,FALSE))</f>
        <v/>
      </c>
      <c r="AS75" s="6">
        <f>IF($L$21="",0,HLOOKUP(AS$73,$AJ$19:$AO$28,10,FALSE))</f>
        <v/>
      </c>
      <c r="AT75" s="6">
        <f>IF($L$21="",0,HLOOKUP(AT$73,$AJ$19:$AO$28,10,FALSE))</f>
        <v/>
      </c>
      <c r="AU75" s="6">
        <f>IF($L$21="",0,HLOOKUP(AU$73,$AJ$19:$AO$28,10,FALSE))</f>
        <v/>
      </c>
      <c r="AV75" s="6">
        <f>IF($L$21="",0,HLOOKUP(AV$73,$AJ$19:$AO$28,10,FALSE))</f>
        <v/>
      </c>
      <c r="AW75" s="6" t="n"/>
      <c r="AX75" s="6" t="inlineStr">
        <is>
          <t>II</t>
        </is>
      </c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 hidden="1" ht="10.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inlineStr">
        <is>
          <t>III</t>
        </is>
      </c>
      <c r="T76" s="6" t="n"/>
      <c r="U76" s="6">
        <f>IF($D$33="",0,HLOOKUP(U$73,$U$31:$Z$40,9,FALSE))</f>
        <v/>
      </c>
      <c r="V76" s="6">
        <f>IF($D$33="",0,HLOOKUP(V$73,$U$31:$Z$40,9,FALSE))</f>
        <v/>
      </c>
      <c r="W76" s="6">
        <f>IF($D$33="",0,HLOOKUP(W$73,$U$31:$Z$40,9,FALSE))</f>
        <v/>
      </c>
      <c r="X76" s="6">
        <f>IF($D$33="",0,HLOOKUP(X$73,$U$31:$Z$40,9,FALSE))</f>
        <v/>
      </c>
      <c r="Y76" s="6">
        <f>IF($D$33="",0,HLOOKUP(Y$73,$U$31:$Z$40,9,FALSE))</f>
        <v/>
      </c>
      <c r="Z76" s="6">
        <f>IF($D$33="",0,HLOOKUP(Z$73,$U$31:$Z$40,9,FALSE))</f>
        <v/>
      </c>
      <c r="AA76" s="6" t="n"/>
      <c r="AB76" s="6">
        <f>IF($D$33="",0,HLOOKUP(AB$73,$U$31:$Z$40,10,FALSE))</f>
        <v/>
      </c>
      <c r="AC76" s="6">
        <f>IF($D$33="",0,HLOOKUP(AC$73,$U$31:$Z$40,10,FALSE))</f>
        <v/>
      </c>
      <c r="AD76" s="6">
        <f>IF($D$33="",0,HLOOKUP(AD$73,$U$31:$Z$40,10,FALSE))</f>
        <v/>
      </c>
      <c r="AE76" s="6">
        <f>IF($D$33="",0,HLOOKUP(AE$73,$U$31:$Z$40,10,FALSE))</f>
        <v/>
      </c>
      <c r="AF76" s="6">
        <f>IF($D$33="",0,HLOOKUP(AF$73,$U$31:$Z$40,10,FALSE))</f>
        <v/>
      </c>
      <c r="AG76" s="6">
        <f>IF($D$33="",0,HLOOKUP(AG$73,$U$31:$Z$40,10,FALSE))</f>
        <v/>
      </c>
      <c r="AH76" s="6" t="n"/>
      <c r="AI76" s="6" t="inlineStr">
        <is>
          <t>III</t>
        </is>
      </c>
      <c r="AJ76" s="6">
        <f>IF($L$33="",0,HLOOKUP(AJ$73,$AJ$31:$AO$40,9,FALSE))</f>
        <v/>
      </c>
      <c r="AK76" s="6">
        <f>IF($L$33="",0,HLOOKUP(AK$73,$AJ$31:$AO$40,9,FALSE))</f>
        <v/>
      </c>
      <c r="AL76" s="6">
        <f>IF($L$33="",0,HLOOKUP(AL$73,$AJ$31:$AO$40,9,FALSE))</f>
        <v/>
      </c>
      <c r="AM76" s="6">
        <f>IF($L$33="",0,HLOOKUP(AM$73,$AJ$31:$AO$40,9,FALSE))</f>
        <v/>
      </c>
      <c r="AN76" s="6">
        <f>IF($L$33="",0,HLOOKUP(AN$73,$AJ$31:$AO$40,9,FALSE))</f>
        <v/>
      </c>
      <c r="AO76" s="6">
        <f>IF($L$33="",0,HLOOKUP(AO$73,$AJ$31:$AO$40,9,FALSE))</f>
        <v/>
      </c>
      <c r="AP76" s="6" t="n"/>
      <c r="AQ76" s="6">
        <f>IF($L$33="",0,HLOOKUP(AQ$73,$AJ$31:$AO$40,10,FALSE))</f>
        <v/>
      </c>
      <c r="AR76" s="6">
        <f>IF($L$33="",0,HLOOKUP(AR$73,$AJ$31:$AO$40,10,FALSE))</f>
        <v/>
      </c>
      <c r="AS76" s="6">
        <f>IF($L$33="",0,HLOOKUP(AS$73,$AJ$31:$AO$40,10,FALSE))</f>
        <v/>
      </c>
      <c r="AT76" s="6">
        <f>IF($L$33="",0,HLOOKUP(AT$73,$AJ$31:$AO$40,10,FALSE))</f>
        <v/>
      </c>
      <c r="AU76" s="6">
        <f>IF($L$33="",0,HLOOKUP(AU$73,$AJ$31:$AO$40,10,FALSE))</f>
        <v/>
      </c>
      <c r="AV76" s="6">
        <f>IF($L$33="",0,HLOOKUP(AV$73,$AJ$31:$AO$40,10,FALSE))</f>
        <v/>
      </c>
      <c r="AW76" s="6" t="n"/>
      <c r="AX76" s="6" t="inlineStr">
        <is>
          <t>III</t>
        </is>
      </c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</row>
    <row r="77" hidden="1" ht="10.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inlineStr">
        <is>
          <t>IV</t>
        </is>
      </c>
      <c r="T77" s="6" t="n"/>
      <c r="U77" s="6">
        <f>IF($D$45="",0,HLOOKUP(U$73,$U$43:$Z$52,9,FALSE))</f>
        <v/>
      </c>
      <c r="V77" s="6">
        <f>IF($D$45="",0,HLOOKUP(V$73,$U$43:$Z$52,9,FALSE))</f>
        <v/>
      </c>
      <c r="W77" s="6">
        <f>IF($D$45="",0,HLOOKUP(W$73,$U$43:$Z$52,9,FALSE))</f>
        <v/>
      </c>
      <c r="X77" s="6">
        <f>IF($D$45="",0,HLOOKUP(X$73,$U$43:$Z$52,9,FALSE))</f>
        <v/>
      </c>
      <c r="Y77" s="6">
        <f>IF($D$45="",0,HLOOKUP(Y$73,$U$43:$Z$52,9,FALSE))</f>
        <v/>
      </c>
      <c r="Z77" s="6">
        <f>IF($D$45="",0,HLOOKUP(Z$73,$U$43:$Z$52,9,FALSE))</f>
        <v/>
      </c>
      <c r="AA77" s="6" t="n"/>
      <c r="AB77" s="6">
        <f>IF($D$45="",0,HLOOKUP(AB$73,$U$43:$Z$52,10,FALSE))</f>
        <v/>
      </c>
      <c r="AC77" s="6">
        <f>IF($D$45="",0,HLOOKUP(AC$73,$U$43:$Z$52,10,FALSE))</f>
        <v/>
      </c>
      <c r="AD77" s="6">
        <f>IF($D$45="",0,HLOOKUP(AD$73,$U$43:$Z$52,10,FALSE))</f>
        <v/>
      </c>
      <c r="AE77" s="6">
        <f>IF($D$45="",0,HLOOKUP(AE$73,$U$43:$Z$52,10,FALSE))</f>
        <v/>
      </c>
      <c r="AF77" s="6">
        <f>IF($D$45="",0,HLOOKUP(AF$73,$U$43:$Z$52,10,FALSE))</f>
        <v/>
      </c>
      <c r="AG77" s="6">
        <f>IF($D$45="",0,HLOOKUP(AG$73,$U$43:$Z$52,10,FALSE))</f>
        <v/>
      </c>
      <c r="AH77" s="6" t="n"/>
      <c r="AI77" s="6" t="inlineStr">
        <is>
          <t>IV</t>
        </is>
      </c>
      <c r="AJ77" s="6">
        <f>IF($L$45="",0,HLOOKUP(AJ$73,$AJ$43:$AO$52,9,FALSE))</f>
        <v/>
      </c>
      <c r="AK77" s="6">
        <f>IF($L$45="",0,HLOOKUP(AK$73,$AJ$43:$AO$52,9,FALSE))</f>
        <v/>
      </c>
      <c r="AL77" s="6">
        <f>IF($L$45="",0,HLOOKUP(AL$73,$AJ$43:$AO$52,9,FALSE))</f>
        <v/>
      </c>
      <c r="AM77" s="6">
        <f>IF($L$45="",0,HLOOKUP(AM$73,$AJ$43:$AO$52,9,FALSE))</f>
        <v/>
      </c>
      <c r="AN77" s="6">
        <f>IF($L$45="",0,HLOOKUP(AN$73,$AJ$43:$AO$52,9,FALSE))</f>
        <v/>
      </c>
      <c r="AO77" s="6">
        <f>IF($L$45="",0,HLOOKUP(AO$73,$AJ$43:$AO$52,9,FALSE))</f>
        <v/>
      </c>
      <c r="AP77" s="6" t="n"/>
      <c r="AQ77" s="6">
        <f>IF($L$45="",0,HLOOKUP(AQ$73,$AJ$43:$AO$52,10,FALSE))</f>
        <v/>
      </c>
      <c r="AR77" s="6">
        <f>IF($L$45="",0,HLOOKUP(AR$73,$AJ$43:$AO$52,10,FALSE))</f>
        <v/>
      </c>
      <c r="AS77" s="6">
        <f>IF($L$45="",0,HLOOKUP(AS$73,$AJ$43:$AO$52,10,FALSE))</f>
        <v/>
      </c>
      <c r="AT77" s="6">
        <f>IF($L$45="",0,HLOOKUP(AT$73,$AJ$43:$AO$52,10,FALSE))</f>
        <v/>
      </c>
      <c r="AU77" s="6">
        <f>IF($L$45="",0,HLOOKUP(AU$73,$AJ$43:$AO$52,10,FALSE))</f>
        <v/>
      </c>
      <c r="AV77" s="6">
        <f>IF($L$45="",0,HLOOKUP(AV$73,$AJ$43:$AO$52,10,FALSE))</f>
        <v/>
      </c>
      <c r="AW77" s="6" t="n"/>
      <c r="AX77" s="6" t="inlineStr">
        <is>
          <t>IV</t>
        </is>
      </c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</row>
    <row r="78" hidden="1" ht="10.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inlineStr">
        <is>
          <t>V</t>
        </is>
      </c>
      <c r="T78" s="6" t="n"/>
      <c r="U78" s="6">
        <f>IF($D$57="",0,HLOOKUP(U$73,$U$55:$Z$64,9,FALSE))</f>
        <v/>
      </c>
      <c r="V78" s="6">
        <f>IF($D$57="",0,HLOOKUP(V$73,$U$55:$Z$64,9,FALSE))</f>
        <v/>
      </c>
      <c r="W78" s="6">
        <f>IF($D$57="",0,HLOOKUP(W$73,$U$55:$Z$64,9,FALSE))</f>
        <v/>
      </c>
      <c r="X78" s="6">
        <f>IF($D$57="",0,HLOOKUP(X$73,$U$55:$Z$64,9,FALSE))</f>
        <v/>
      </c>
      <c r="Y78" s="6">
        <f>IF($D$57="",0,HLOOKUP(Y$73,$U$55:$Z$64,9,FALSE))</f>
        <v/>
      </c>
      <c r="Z78" s="6">
        <f>IF($D$57="",0,HLOOKUP(Z$73,$U$55:$Z$64,9,FALSE))</f>
        <v/>
      </c>
      <c r="AA78" s="6" t="n"/>
      <c r="AB78" s="6">
        <f>IF($D$57="",0,HLOOKUP(AB$73,$U$55:$Z$64,10,FALSE))</f>
        <v/>
      </c>
      <c r="AC78" s="6">
        <f>IF($D$57="",0,HLOOKUP(AC$73,$U$55:$Z$64,10,FALSE))</f>
        <v/>
      </c>
      <c r="AD78" s="6">
        <f>IF($D$57="",0,HLOOKUP(AD$73,$U$55:$Z$64,10,FALSE))</f>
        <v/>
      </c>
      <c r="AE78" s="6">
        <f>IF($D$57="",0,HLOOKUP(AE$73,$U$55:$Z$64,10,FALSE))</f>
        <v/>
      </c>
      <c r="AF78" s="6">
        <f>IF($D$57="",0,HLOOKUP(AF$73,$U$55:$Z$64,10,FALSE))</f>
        <v/>
      </c>
      <c r="AG78" s="6">
        <f>IF($D$57="",0,HLOOKUP(AG$73,$U$55:$Z$64,10,FALSE))</f>
        <v/>
      </c>
      <c r="AH78" s="6" t="n"/>
      <c r="AI78" s="6" t="inlineStr">
        <is>
          <t>V</t>
        </is>
      </c>
      <c r="AJ78" s="6">
        <f>IF($L$57="",0,HLOOKUP(AJ$73,$AJ$55:$AO$64,9,FALSE))</f>
        <v/>
      </c>
      <c r="AK78" s="6">
        <f>IF($L$57="",0,HLOOKUP(AK$73,$AJ$55:$AO$64,9,FALSE))</f>
        <v/>
      </c>
      <c r="AL78" s="6">
        <f>IF($L$57="",0,HLOOKUP(AL$73,$AJ$55:$AO$64,9,FALSE))</f>
        <v/>
      </c>
      <c r="AM78" s="6">
        <f>IF($L$57="",0,HLOOKUP(AM$73,$AJ$55:$AO$64,9,FALSE))</f>
        <v/>
      </c>
      <c r="AN78" s="6">
        <f>IF($L$57="",0,HLOOKUP(AN$73,$AJ$55:$AO$64,9,FALSE))</f>
        <v/>
      </c>
      <c r="AO78" s="6">
        <f>IF($L$57="",0,HLOOKUP(AO$73,$AJ$55:$AO$64,9,FALSE))</f>
        <v/>
      </c>
      <c r="AP78" s="6" t="n"/>
      <c r="AQ78" s="6">
        <f>IF($L$57="",0,HLOOKUP(AQ$73,$AJ$55:$AO$64,10,FALSE))</f>
        <v/>
      </c>
      <c r="AR78" s="6">
        <f>IF($L$57="",0,HLOOKUP(AR$73,$AJ$55:$AO$64,10,FALSE))</f>
        <v/>
      </c>
      <c r="AS78" s="6">
        <f>IF($L$57="",0,HLOOKUP(AS$73,$AJ$55:$AO$64,10,FALSE))</f>
        <v/>
      </c>
      <c r="AT78" s="6">
        <f>IF($L$57="",0,HLOOKUP(AT$73,$AJ$55:$AO$64,10,FALSE))</f>
        <v/>
      </c>
      <c r="AU78" s="6">
        <f>IF($L$57="",0,HLOOKUP(AU$73,$AJ$55:$AO$64,10,FALSE))</f>
        <v/>
      </c>
      <c r="AV78" s="6">
        <f>IF($L$57="",0,HLOOKUP(AV$73,$AJ$55:$AO$64,10,FALSE))</f>
        <v/>
      </c>
      <c r="AW78" s="6" t="n"/>
      <c r="AX78" s="6" t="inlineStr">
        <is>
          <t>V</t>
        </is>
      </c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</row>
    <row r="79" hidden="1" ht="10.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92">
        <f>SUM(U74:U78)</f>
        <v/>
      </c>
      <c r="V79" s="92">
        <f>SUM(V74:V78)</f>
        <v/>
      </c>
      <c r="W79" s="92">
        <f>SUM(W74:W78)</f>
        <v/>
      </c>
      <c r="X79" s="92">
        <f>SUM(X74:X78)</f>
        <v/>
      </c>
      <c r="Y79" s="92">
        <f>SUM(Y74:Y78)</f>
        <v/>
      </c>
      <c r="Z79" s="92">
        <f>SUM(Z74:Z78)</f>
        <v/>
      </c>
      <c r="AA79" s="92" t="n"/>
      <c r="AB79" s="92">
        <f>SUM(AB74:AB78)</f>
        <v/>
      </c>
      <c r="AC79" s="92">
        <f>SUM(AC74:AC78)</f>
        <v/>
      </c>
      <c r="AD79" s="92">
        <f>SUM(AD74:AD78)</f>
        <v/>
      </c>
      <c r="AE79" s="92">
        <f>SUM(AE74:AE78)</f>
        <v/>
      </c>
      <c r="AF79" s="92">
        <f>SUM(AF74:AF78)</f>
        <v/>
      </c>
      <c r="AG79" s="92">
        <f>SUM(AG74:AG78)</f>
        <v/>
      </c>
      <c r="AH79" s="6" t="n"/>
      <c r="AI79" s="6" t="n"/>
      <c r="AJ79" s="92">
        <f>SUM(AJ74:AJ78)</f>
        <v/>
      </c>
      <c r="AK79" s="92">
        <f>SUM(AK74:AK78)</f>
        <v/>
      </c>
      <c r="AL79" s="92">
        <f>SUM(AL74:AL78)</f>
        <v/>
      </c>
      <c r="AM79" s="92">
        <f>SUM(AM74:AM78)</f>
        <v/>
      </c>
      <c r="AN79" s="92">
        <f>SUM(AN74:AN78)</f>
        <v/>
      </c>
      <c r="AO79" s="92">
        <f>SUM(AO74:AO78)</f>
        <v/>
      </c>
      <c r="AP79" s="6" t="n"/>
      <c r="AQ79" s="92">
        <f>SUM(AQ74:AQ78)</f>
        <v/>
      </c>
      <c r="AR79" s="92">
        <f>SUM(AR74:AR78)</f>
        <v/>
      </c>
      <c r="AS79" s="92">
        <f>SUM(AS74:AS78)</f>
        <v/>
      </c>
      <c r="AT79" s="92">
        <f>SUM(AT74:AT78)</f>
        <v/>
      </c>
      <c r="AU79" s="92">
        <f>SUM(AU74:AU78)</f>
        <v/>
      </c>
      <c r="AV79" s="92">
        <f>SUM(AV74:AV78)</f>
        <v/>
      </c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</row>
    <row r="80" hidden="1" ht="10.5" customHeight="1" s="1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</row>
    <row r="81" hidden="1" ht="10.5" customHeight="1" s="1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</row>
    <row r="82" hidden="1" ht="10.5" customHeight="1" s="1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92" t="n">
        <v>0</v>
      </c>
      <c r="AB82" s="6">
        <f>U79-COUNTIF(AB74:AB78,"&gt;0")</f>
        <v/>
      </c>
      <c r="AC82" s="6">
        <f>V79-COUNTIF(AC74:AC78,"&gt;0")</f>
        <v/>
      </c>
      <c r="AD82" s="6">
        <f>W79-COUNTIF(AD74:AD78,"&gt;0")</f>
        <v/>
      </c>
      <c r="AE82" s="6">
        <f>X79-COUNTIF(AE74:AE78,"&gt;0")</f>
        <v/>
      </c>
      <c r="AF82" s="6">
        <f>Y79-COUNTIF(AF74:AF78,"&gt;0")</f>
        <v/>
      </c>
      <c r="AG82" s="6">
        <f>Z79-COUNTIF(AG74:AG78,"&gt;0")</f>
        <v/>
      </c>
      <c r="AH82" s="6" t="n"/>
      <c r="AI82" s="6" t="n"/>
      <c r="AJ82" s="6" t="n"/>
      <c r="AK82" s="6" t="n"/>
      <c r="AL82" s="6" t="n"/>
      <c r="AM82" s="6" t="n"/>
      <c r="AN82" s="6" t="n"/>
      <c r="AO82" s="6" t="n"/>
      <c r="AP82" s="92" t="n">
        <v>0</v>
      </c>
      <c r="AQ82" s="6">
        <f>AJ79-COUNTIF(AQ74:AQ78,"&gt;0")</f>
        <v/>
      </c>
      <c r="AR82" s="6">
        <f>AK79-COUNTIF(AR74:AR78,"&gt;0")</f>
        <v/>
      </c>
      <c r="AS82" s="6">
        <f>AL79-COUNTIF(AS74:AS78,"&gt;0")</f>
        <v/>
      </c>
      <c r="AT82" s="6">
        <f>AM79-COUNTIF(AT74:AT78,"&gt;0")</f>
        <v/>
      </c>
      <c r="AU82" s="6">
        <f>AN79-COUNTIF(AU74:AU78,"&gt;0")</f>
        <v/>
      </c>
      <c r="AV82" s="6">
        <f>AO79-COUNTIF(AV74:AV78,"&gt;0")</f>
        <v/>
      </c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</row>
    <row r="83" hidden="1" ht="10.5" customHeight="1" s="1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92" t="n">
        <v>1</v>
      </c>
      <c r="AB83" s="6">
        <f>COUNTIF(AB74:AB78,"&gt;0")</f>
        <v/>
      </c>
      <c r="AC83" s="6">
        <f>COUNTIF(AC74:AC78,"&gt;0")</f>
        <v/>
      </c>
      <c r="AD83" s="6">
        <f>COUNTIF(AD74:AD78,"&gt;0")</f>
        <v/>
      </c>
      <c r="AE83" s="6">
        <f>COUNTIF(AE74:AE78,"&gt;0")</f>
        <v/>
      </c>
      <c r="AF83" s="6">
        <f>COUNTIF(AF74:AF78,"&gt;0")</f>
        <v/>
      </c>
      <c r="AG83" s="6">
        <f>COUNTIF(AG74:AG78,"&gt;0")</f>
        <v/>
      </c>
      <c r="AH83" s="6" t="n"/>
      <c r="AI83" s="6" t="n"/>
      <c r="AJ83" s="6" t="n"/>
      <c r="AK83" s="6" t="n"/>
      <c r="AL83" s="6" t="n"/>
      <c r="AM83" s="6" t="n"/>
      <c r="AN83" s="6" t="n"/>
      <c r="AO83" s="6" t="n"/>
      <c r="AP83" s="92" t="n">
        <v>1</v>
      </c>
      <c r="AQ83" s="6">
        <f>COUNTIF(AQ74:AQ78,"&gt;0")</f>
        <v/>
      </c>
      <c r="AR83" s="6">
        <f>COUNTIF(AR74:AR78,"&gt;0")</f>
        <v/>
      </c>
      <c r="AS83" s="6">
        <f>COUNTIF(AS74:AS78,"&gt;0")</f>
        <v/>
      </c>
      <c r="AT83" s="6">
        <f>COUNTIF(AT74:AT78,"&gt;0")</f>
        <v/>
      </c>
      <c r="AU83" s="6">
        <f>COUNTIF(AU74:AU78,"&gt;0")</f>
        <v/>
      </c>
      <c r="AV83" s="6">
        <f>COUNTIF(AV74:AV78,"&gt;0")</f>
        <v/>
      </c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</row>
    <row r="84" hidden="1" ht="10.5" customHeight="1" s="1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92" t="inlineStr">
        <is>
          <t>&gt;</t>
        </is>
      </c>
      <c r="AB84" s="6">
        <f>COUNTIF(AB74:AB78,"&gt;1")</f>
        <v/>
      </c>
      <c r="AC84" s="6">
        <f>COUNTIF(AC74:AC78,"&gt;1")</f>
        <v/>
      </c>
      <c r="AD84" s="6">
        <f>COUNTIF(AD74:AD78,"&gt;1")</f>
        <v/>
      </c>
      <c r="AE84" s="6">
        <f>COUNTIF(AE74:AE78,"&gt;1")</f>
        <v/>
      </c>
      <c r="AF84" s="6">
        <f>COUNTIF(AF74:AF78,"&gt;1")</f>
        <v/>
      </c>
      <c r="AG84" s="6">
        <f>COUNTIF(AG74:AG78,"&gt;1")</f>
        <v/>
      </c>
      <c r="AH84" s="6" t="n"/>
      <c r="AI84" s="6" t="n"/>
      <c r="AJ84" s="6" t="n"/>
      <c r="AK84" s="6" t="n"/>
      <c r="AL84" s="6" t="n"/>
      <c r="AM84" s="6" t="n"/>
      <c r="AN84" s="6" t="n"/>
      <c r="AO84" s="6" t="n"/>
      <c r="AP84" s="92" t="inlineStr">
        <is>
          <t>&gt;</t>
        </is>
      </c>
      <c r="AQ84" s="6">
        <f>COUNTIF(AQ74:AQ78,"&gt;1")</f>
        <v/>
      </c>
      <c r="AR84" s="6">
        <f>COUNTIF(AR74:AR78,"&gt;1")</f>
        <v/>
      </c>
      <c r="AS84" s="6">
        <f>COUNTIF(AS74:AS78,"&gt;1")</f>
        <v/>
      </c>
      <c r="AT84" s="6">
        <f>COUNTIF(AT74:AT78,"&gt;1")</f>
        <v/>
      </c>
      <c r="AU84" s="6">
        <f>COUNTIF(AU74:AU78,"&gt;1")</f>
        <v/>
      </c>
      <c r="AV84" s="6">
        <f>COUNTIF(AV74:AV78,"&gt;1")</f>
        <v/>
      </c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</row>
    <row r="85" hidden="1" ht="12.75" customHeight="1" s="1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</row>
    <row r="86" hidden="1" ht="12.75" customHeight="1" s="1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</row>
    <row r="87" hidden="1" ht="12.75" customHeight="1" s="1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</row>
    <row r="88" hidden="1" ht="12.75" customHeight="1" s="1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</row>
    <row r="89" hidden="1" ht="12.75" customHeight="1" s="1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</row>
    <row r="90" hidden="1" ht="12.75" customHeight="1" s="1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</row>
    <row r="91" ht="12.75" customHeight="1" s="1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</row>
    <row r="92" ht="12.75" customHeight="1" s="1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</row>
    <row r="93" ht="12.75" customHeight="1" s="1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</row>
    <row r="94" ht="12.75" customHeight="1" s="1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</row>
    <row r="95" ht="12.75" customHeight="1" s="1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</row>
    <row r="96" ht="12.75" customHeight="1" s="1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</row>
    <row r="97" ht="12.75" customHeight="1" s="1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</row>
    <row r="98" ht="12.75" customHeight="1" s="1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</row>
    <row r="99" ht="12.75" customHeight="1" s="1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</row>
    <row r="100" ht="12.75" customHeight="1" s="1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</row>
    <row r="101" ht="12.75" customHeight="1" s="111"/>
    <row r="102" ht="12.75" customHeight="1" s="111"/>
    <row r="103" ht="12.75" customHeight="1" s="111"/>
    <row r="104" ht="12.75" customHeight="1" s="111"/>
    <row r="105" ht="12.75" customHeight="1" s="111"/>
    <row r="106" ht="12.75" customHeight="1" s="111"/>
    <row r="107" ht="12.75" customHeight="1" s="111"/>
    <row r="108" ht="12.75" customHeight="1" s="111"/>
    <row r="109" ht="12.75" customHeight="1" s="111"/>
    <row r="110" ht="12.75" customHeight="1" s="111"/>
    <row r="111" ht="12.75" customHeight="1" s="111"/>
    <row r="112" ht="12.75" customHeight="1" s="111"/>
    <row r="113" ht="12.75" customHeight="1" s="111"/>
    <row r="114" ht="12.75" customHeight="1" s="111"/>
    <row r="115" ht="12.75" customHeight="1" s="111"/>
    <row r="116" ht="12.75" customHeight="1" s="111"/>
    <row r="117" ht="12.75" customHeight="1" s="111"/>
    <row r="118" ht="12.75" customHeight="1" s="111"/>
    <row r="119" ht="12.75" customHeight="1" s="111"/>
    <row r="120" ht="12.75" customHeight="1" s="111"/>
    <row r="121" ht="12.75" customHeight="1" s="111"/>
    <row r="122" ht="12.75" customHeight="1" s="111"/>
    <row r="123" ht="12.75" customHeight="1" s="111"/>
    <row r="124" ht="12.75" customHeight="1" s="111"/>
    <row r="125" ht="12.75" customHeight="1" s="111"/>
    <row r="126" ht="12.75" customHeight="1" s="111"/>
    <row r="127" ht="12.75" customHeight="1" s="111"/>
    <row r="128" ht="12.75" customHeight="1" s="111"/>
    <row r="129" ht="12.75" customHeight="1" s="111"/>
    <row r="130" ht="12.75" customHeight="1" s="111"/>
    <row r="131" ht="12.75" customHeight="1" s="111"/>
    <row r="132" ht="12.75" customHeight="1" s="111"/>
    <row r="133" ht="12.75" customHeight="1" s="111"/>
    <row r="134" ht="12.75" customHeight="1" s="111"/>
    <row r="135" ht="12.75" customHeight="1" s="111"/>
    <row r="136" ht="12.75" customHeight="1" s="111"/>
    <row r="137" ht="12.75" customHeight="1" s="111"/>
    <row r="138" ht="12.75" customHeight="1" s="111"/>
    <row r="139" ht="12.75" customHeight="1" s="111"/>
    <row r="140" ht="12.75" customHeight="1" s="111"/>
    <row r="141" ht="12.75" customHeight="1" s="111"/>
    <row r="142" ht="12.75" customHeight="1" s="111"/>
    <row r="143" ht="12.75" customHeight="1" s="111"/>
    <row r="144" ht="12.75" customHeight="1" s="111"/>
    <row r="145" ht="12.75" customHeight="1" s="111"/>
    <row r="146" ht="12.75" customHeight="1" s="111"/>
    <row r="147" ht="12.75" customHeight="1" s="111"/>
    <row r="148" ht="12.75" customHeight="1" s="111"/>
    <row r="149" ht="12.75" customHeight="1" s="111"/>
    <row r="150" ht="12.75" customHeight="1" s="111"/>
    <row r="151" ht="12.75" customHeight="1" s="111"/>
    <row r="152" ht="12.75" customHeight="1" s="111"/>
    <row r="153" ht="12.75" customHeight="1" s="111"/>
    <row r="154" ht="12.75" customHeight="1" s="111"/>
    <row r="155" ht="12.75" customHeight="1" s="111"/>
    <row r="156" ht="12.75" customHeight="1" s="111"/>
    <row r="157" ht="12.75" customHeight="1" s="111"/>
    <row r="158" ht="12.75" customHeight="1" s="111"/>
    <row r="159" ht="12.75" customHeight="1" s="111"/>
    <row r="160" ht="12.75" customHeight="1" s="111"/>
    <row r="161" ht="12.75" customHeight="1" s="111"/>
    <row r="162" ht="12.75" customHeight="1" s="111"/>
    <row r="163" ht="12.75" customHeight="1" s="111"/>
    <row r="164" ht="12.75" customHeight="1" s="111"/>
    <row r="165" ht="12.75" customHeight="1" s="111"/>
    <row r="166" ht="12.75" customHeight="1" s="111"/>
    <row r="167" ht="12.75" customHeight="1" s="111"/>
    <row r="168" ht="12.75" customHeight="1" s="111"/>
    <row r="169" ht="12.75" customHeight="1" s="111"/>
    <row r="170" ht="12.75" customHeight="1" s="111"/>
    <row r="171" ht="12.75" customHeight="1" s="111"/>
    <row r="172" ht="12.75" customHeight="1" s="111"/>
    <row r="173" ht="12.75" customHeight="1" s="111"/>
    <row r="174" ht="12.75" customHeight="1" s="111"/>
    <row r="175" ht="12.75" customHeight="1" s="111"/>
    <row r="176" ht="12.75" customHeight="1" s="111"/>
    <row r="177" ht="12.75" customHeight="1" s="111"/>
    <row r="178" ht="12.75" customHeight="1" s="111"/>
    <row r="179" ht="12.75" customHeight="1" s="111"/>
    <row r="180" ht="12.75" customHeight="1" s="111"/>
    <row r="181" ht="12.75" customHeight="1" s="111"/>
    <row r="182" ht="12.75" customHeight="1" s="111"/>
    <row r="183" ht="12.75" customHeight="1" s="111"/>
    <row r="184" ht="12.75" customHeight="1" s="111"/>
    <row r="185" ht="12.75" customHeight="1" s="111"/>
    <row r="186" ht="12.75" customHeight="1" s="111"/>
    <row r="187" ht="12.75" customHeight="1" s="111"/>
    <row r="188" ht="12.75" customHeight="1" s="111"/>
    <row r="189" ht="12.75" customHeight="1" s="111"/>
    <row r="190" ht="12.75" customHeight="1" s="111"/>
    <row r="191" ht="12.75" customHeight="1" s="111"/>
    <row r="192" ht="12.75" customHeight="1" s="111"/>
    <row r="193" ht="12.75" customHeight="1" s="111"/>
    <row r="194" ht="12.75" customHeight="1" s="111"/>
    <row r="195" ht="12.75" customHeight="1" s="111"/>
    <row r="196" ht="12.75" customHeight="1" s="111"/>
    <row r="197" ht="12.75" customHeight="1" s="111"/>
    <row r="198" ht="12.75" customHeight="1" s="111"/>
    <row r="199" ht="12.75" customHeight="1" s="111"/>
    <row r="200" ht="12.75" customHeight="1" s="111"/>
    <row r="201" ht="12.75" customHeight="1" s="111"/>
    <row r="202" ht="12.75" customHeight="1" s="111"/>
    <row r="203" ht="12.75" customHeight="1" s="111"/>
    <row r="204" ht="12.75" customHeight="1" s="111"/>
    <row r="205" ht="12.75" customHeight="1" s="111"/>
    <row r="206" ht="12.75" customHeight="1" s="111"/>
    <row r="207" ht="12.75" customHeight="1" s="111"/>
    <row r="208" ht="12.75" customHeight="1" s="111"/>
    <row r="209" ht="12.75" customHeight="1" s="111"/>
    <row r="210" ht="12.75" customHeight="1" s="111"/>
    <row r="211" ht="12.75" customHeight="1" s="111"/>
    <row r="212" ht="12.75" customHeight="1" s="111"/>
    <row r="213" ht="12.75" customHeight="1" s="111"/>
    <row r="214" ht="12.75" customHeight="1" s="111"/>
    <row r="215" ht="12.75" customHeight="1" s="111"/>
    <row r="216" ht="12.75" customHeight="1" s="111"/>
    <row r="217" ht="12.75" customHeight="1" s="111"/>
    <row r="218" ht="12.75" customHeight="1" s="111"/>
    <row r="219" ht="12.75" customHeight="1" s="111"/>
    <row r="220" ht="12.75" customHeight="1" s="111"/>
    <row r="221" ht="12.75" customHeight="1" s="111"/>
    <row r="222" ht="12.75" customHeight="1" s="111"/>
    <row r="223" ht="12.75" customHeight="1" s="111"/>
    <row r="224" ht="12.75" customHeight="1" s="111"/>
    <row r="225" ht="12.75" customHeight="1" s="111"/>
    <row r="226" ht="12.75" customHeight="1" s="111"/>
    <row r="227" ht="12.75" customHeight="1" s="111"/>
    <row r="228" ht="12.75" customHeight="1" s="111"/>
    <row r="229" ht="12.75" customHeight="1" s="111"/>
    <row r="230" ht="12.75" customHeight="1" s="111"/>
    <row r="231" ht="12.75" customHeight="1" s="111"/>
    <row r="232" ht="12.75" customHeight="1" s="111"/>
    <row r="233" ht="12.75" customHeight="1" s="111"/>
    <row r="234" ht="12.75" customHeight="1" s="111"/>
    <row r="235" ht="12.75" customHeight="1" s="111"/>
    <row r="236" ht="12.75" customHeight="1" s="111"/>
    <row r="237" ht="12.75" customHeight="1" s="111"/>
    <row r="238" ht="12.75" customHeight="1" s="111"/>
    <row r="239" ht="12.75" customHeight="1" s="111"/>
    <row r="240" ht="12.75" customHeight="1" s="111"/>
    <row r="241" ht="12.75" customHeight="1" s="111"/>
    <row r="242" ht="12.75" customHeight="1" s="111"/>
    <row r="243" ht="12.75" customHeight="1" s="111"/>
    <row r="244" ht="12.75" customHeight="1" s="111"/>
    <row r="245" ht="12.75" customHeight="1" s="111"/>
    <row r="246" ht="12.75" customHeight="1" s="111"/>
    <row r="247" ht="12.75" customHeight="1" s="111"/>
    <row r="248" ht="12.75" customHeight="1" s="111"/>
    <row r="249" ht="12.75" customHeight="1" s="111"/>
    <row r="250" ht="12.75" customHeight="1" s="111"/>
    <row r="251" ht="12.75" customHeight="1" s="111"/>
    <row r="252" ht="12.75" customHeight="1" s="111"/>
    <row r="253" ht="12.75" customHeight="1" s="111"/>
    <row r="254" ht="12.75" customHeight="1" s="111"/>
    <row r="255" ht="12.75" customHeight="1" s="111"/>
    <row r="256" ht="12.75" customHeight="1" s="111"/>
    <row r="257" ht="12.75" customHeight="1" s="111"/>
    <row r="258" ht="12.75" customHeight="1" s="111"/>
    <row r="259" ht="12.75" customHeight="1" s="111"/>
    <row r="260" ht="12.75" customHeight="1" s="111"/>
    <row r="261" ht="12.75" customHeight="1" s="111"/>
    <row r="262" ht="12.75" customHeight="1" s="111"/>
    <row r="263" ht="12.75" customHeight="1" s="111"/>
    <row r="264" ht="12.75" customHeight="1" s="111"/>
    <row r="265" ht="12.75" customHeight="1" s="111"/>
    <row r="266" ht="12.75" customHeight="1" s="111"/>
    <row r="267" ht="12.75" customHeight="1" s="111"/>
    <row r="268" ht="12.75" customHeight="1" s="111"/>
    <row r="269" ht="12.75" customHeight="1" s="111"/>
    <row r="270" ht="12.75" customHeight="1" s="111"/>
    <row r="271" ht="12.75" customHeight="1" s="111"/>
    <row r="272" ht="12.75" customHeight="1" s="111"/>
    <row r="273" ht="12.75" customHeight="1" s="111"/>
    <row r="274" ht="12.75" customHeight="1" s="111"/>
    <row r="275" ht="12.75" customHeight="1" s="111"/>
    <row r="276" ht="12.75" customHeight="1" s="111"/>
    <row r="277" ht="12.75" customHeight="1" s="111"/>
    <row r="278" ht="12.75" customHeight="1" s="111"/>
    <row r="279" ht="12.75" customHeight="1" s="111"/>
    <row r="280" ht="12.75" customHeight="1" s="111"/>
    <row r="281" ht="12.75" customHeight="1" s="111"/>
    <row r="282" ht="12.75" customHeight="1" s="111"/>
    <row r="283" ht="12.75" customHeight="1" s="111"/>
    <row r="284" ht="12.75" customHeight="1" s="111"/>
    <row r="285" ht="12.75" customHeight="1" s="111"/>
    <row r="286" ht="12.75" customHeight="1" s="111"/>
    <row r="287" ht="12.75" customHeight="1" s="111"/>
    <row r="288" ht="12.75" customHeight="1" s="111"/>
    <row r="289" ht="12.75" customHeight="1" s="111"/>
    <row r="290" ht="12.75" customHeight="1" s="111"/>
    <row r="291" ht="12.75" customHeight="1" s="111"/>
    <row r="292" ht="12.75" customHeight="1" s="111"/>
    <row r="293" ht="12.75" customHeight="1" s="111"/>
    <row r="294" ht="12.75" customHeight="1" s="111"/>
    <row r="295" ht="12.75" customHeight="1" s="111"/>
    <row r="296" ht="12.75" customHeight="1" s="111"/>
    <row r="297" ht="12.75" customHeight="1" s="111"/>
    <row r="298" ht="12.75" customHeight="1" s="111"/>
    <row r="299" ht="12.75" customHeight="1" s="111"/>
    <row r="300" ht="12.75" customHeight="1" s="111"/>
    <row r="301" ht="12.75" customHeight="1" s="111"/>
    <row r="302" ht="12.75" customHeight="1" s="111"/>
    <row r="303" ht="12.75" customHeight="1" s="111"/>
    <row r="304" ht="12.75" customHeight="1" s="111"/>
    <row r="305" ht="12.75" customHeight="1" s="111"/>
    <row r="306" ht="12.75" customHeight="1" s="111"/>
    <row r="307" ht="12.75" customHeight="1" s="111"/>
    <row r="308" ht="12.75" customHeight="1" s="111"/>
    <row r="309" ht="12.75" customHeight="1" s="111"/>
    <row r="310" ht="12.75" customHeight="1" s="111"/>
    <row r="311" ht="12.75" customHeight="1" s="111"/>
    <row r="312" ht="12.75" customHeight="1" s="111"/>
    <row r="313" ht="12.75" customHeight="1" s="111"/>
    <row r="314" ht="12.75" customHeight="1" s="111"/>
    <row r="315" ht="12.75" customHeight="1" s="111"/>
    <row r="316" ht="12.75" customHeight="1" s="111"/>
    <row r="317" ht="12.75" customHeight="1" s="111"/>
    <row r="318" ht="12.75" customHeight="1" s="111"/>
    <row r="319" ht="12.75" customHeight="1" s="111"/>
    <row r="320" ht="12.75" customHeight="1" s="111"/>
    <row r="321" ht="12.75" customHeight="1" s="111"/>
    <row r="322" ht="12.75" customHeight="1" s="111"/>
    <row r="323" ht="12.75" customHeight="1" s="111"/>
    <row r="324" ht="12.75" customHeight="1" s="111"/>
    <row r="325" ht="12.75" customHeight="1" s="111"/>
    <row r="326" ht="12.75" customHeight="1" s="111"/>
    <row r="327" ht="12.75" customHeight="1" s="111"/>
    <row r="328" ht="12.75" customHeight="1" s="111"/>
    <row r="329" ht="12.75" customHeight="1" s="111"/>
    <row r="330" ht="12.75" customHeight="1" s="111"/>
    <row r="331" ht="12.75" customHeight="1" s="111"/>
    <row r="332" ht="12.75" customHeight="1" s="111"/>
    <row r="333" ht="12.75" customHeight="1" s="111"/>
    <row r="334" ht="12.75" customHeight="1" s="111"/>
    <row r="335" ht="12.75" customHeight="1" s="111"/>
    <row r="336" ht="12.75" customHeight="1" s="111"/>
    <row r="337" ht="12.75" customHeight="1" s="111"/>
    <row r="338" ht="12.75" customHeight="1" s="111"/>
    <row r="339" ht="12.75" customHeight="1" s="111"/>
    <row r="340" ht="12.75" customHeight="1" s="111"/>
    <row r="341" ht="12.75" customHeight="1" s="111"/>
    <row r="342" ht="12.75" customHeight="1" s="111"/>
    <row r="343" ht="12.75" customHeight="1" s="111"/>
    <row r="344" ht="12.75" customHeight="1" s="111"/>
    <row r="345" ht="12.75" customHeight="1" s="111"/>
    <row r="346" ht="12.75" customHeight="1" s="111"/>
    <row r="347" ht="12.75" customHeight="1" s="111"/>
    <row r="348" ht="12.75" customHeight="1" s="111"/>
    <row r="349" ht="12.75" customHeight="1" s="111"/>
    <row r="350" ht="12.75" customHeight="1" s="111"/>
    <row r="351" ht="12.75" customHeight="1" s="111"/>
    <row r="352" ht="12.75" customHeight="1" s="111"/>
    <row r="353" ht="12.75" customHeight="1" s="111"/>
    <row r="354" ht="12.75" customHeight="1" s="111"/>
    <row r="355" ht="12.75" customHeight="1" s="111"/>
    <row r="356" ht="12.75" customHeight="1" s="111"/>
    <row r="357" ht="12.75" customHeight="1" s="111"/>
    <row r="358" ht="12.75" customHeight="1" s="111"/>
    <row r="359" ht="12.75" customHeight="1" s="111"/>
    <row r="360" ht="12.75" customHeight="1" s="111"/>
    <row r="361" ht="12.75" customHeight="1" s="111"/>
    <row r="362" ht="12.75" customHeight="1" s="111"/>
    <row r="363" ht="12.75" customHeight="1" s="111"/>
    <row r="364" ht="12.75" customHeight="1" s="111"/>
    <row r="365" ht="12.75" customHeight="1" s="111"/>
    <row r="366" ht="12.75" customHeight="1" s="111"/>
    <row r="367" ht="12.75" customHeight="1" s="111"/>
    <row r="368" ht="12.75" customHeight="1" s="111"/>
    <row r="369" ht="12.75" customHeight="1" s="111"/>
    <row r="370" ht="12.75" customHeight="1" s="111"/>
    <row r="371" ht="12.75" customHeight="1" s="111"/>
    <row r="372" ht="12.75" customHeight="1" s="111"/>
    <row r="373" ht="12.75" customHeight="1" s="111"/>
    <row r="374" ht="12.75" customHeight="1" s="111"/>
    <row r="375" ht="12.75" customHeight="1" s="111"/>
    <row r="376" ht="12.75" customHeight="1" s="111"/>
    <row r="377" ht="12.75" customHeight="1" s="111"/>
    <row r="378" ht="12.75" customHeight="1" s="111"/>
    <row r="379" ht="12.75" customHeight="1" s="111"/>
    <row r="380" ht="12.75" customHeight="1" s="111"/>
    <row r="381" ht="12.75" customHeight="1" s="111"/>
    <row r="382" ht="12.75" customHeight="1" s="111"/>
    <row r="383" ht="12.75" customHeight="1" s="111"/>
    <row r="384" ht="12.75" customHeight="1" s="111"/>
    <row r="385" ht="12.75" customHeight="1" s="111"/>
    <row r="386" ht="12.75" customHeight="1" s="111"/>
    <row r="387" ht="12.75" customHeight="1" s="111"/>
    <row r="388" ht="12.75" customHeight="1" s="111"/>
    <row r="389" ht="12.75" customHeight="1" s="111"/>
    <row r="390" ht="12.75" customHeight="1" s="111"/>
    <row r="391" ht="12.75" customHeight="1" s="111"/>
    <row r="392" ht="12.75" customHeight="1" s="111"/>
    <row r="393" ht="12.75" customHeight="1" s="111"/>
    <row r="394" ht="12.75" customHeight="1" s="111"/>
    <row r="395" ht="12.75" customHeight="1" s="111"/>
    <row r="396" ht="12.75" customHeight="1" s="111"/>
    <row r="397" ht="12.75" customHeight="1" s="111"/>
    <row r="398" ht="12.75" customHeight="1" s="111"/>
    <row r="399" ht="12.75" customHeight="1" s="111"/>
    <row r="400" ht="12.75" customHeight="1" s="111"/>
    <row r="401" ht="12.75" customHeight="1" s="111"/>
    <row r="402" ht="12.75" customHeight="1" s="111"/>
    <row r="403" ht="12.75" customHeight="1" s="111"/>
    <row r="404" ht="12.75" customHeight="1" s="111"/>
    <row r="405" ht="12.75" customHeight="1" s="111"/>
    <row r="406" ht="12.75" customHeight="1" s="111"/>
    <row r="407" ht="12.75" customHeight="1" s="111"/>
    <row r="408" ht="12.75" customHeight="1" s="111"/>
    <row r="409" ht="12.75" customHeight="1" s="111"/>
    <row r="410" ht="12.75" customHeight="1" s="111"/>
    <row r="411" ht="12.75" customHeight="1" s="111"/>
    <row r="412" ht="12.75" customHeight="1" s="111"/>
    <row r="413" ht="12.75" customHeight="1" s="111"/>
    <row r="414" ht="12.75" customHeight="1" s="111"/>
    <row r="415" ht="12.75" customHeight="1" s="111"/>
    <row r="416" ht="12.75" customHeight="1" s="111"/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49">
    <mergeCell ref="AQ72:AV72"/>
    <mergeCell ref="A30:B30"/>
    <mergeCell ref="AB72:AG72"/>
    <mergeCell ref="AA27:AA28"/>
    <mergeCell ref="AQ55:AR55"/>
    <mergeCell ref="AB55:AC55"/>
    <mergeCell ref="AJ72:AO72"/>
    <mergeCell ref="AP39:AP40"/>
    <mergeCell ref="AA15:AA16"/>
    <mergeCell ref="L55:Q55"/>
    <mergeCell ref="A6:B6"/>
    <mergeCell ref="D7:I7"/>
    <mergeCell ref="U72:Z72"/>
    <mergeCell ref="AP63:AP64"/>
    <mergeCell ref="A1:T1"/>
    <mergeCell ref="AJ1:AY1"/>
    <mergeCell ref="D43:I43"/>
    <mergeCell ref="AL3:AW3"/>
    <mergeCell ref="AQ7:AR7"/>
    <mergeCell ref="A54:B54"/>
    <mergeCell ref="AA39:AA40"/>
    <mergeCell ref="AA63:AA64"/>
    <mergeCell ref="AP51:AP52"/>
    <mergeCell ref="BD6:BF6"/>
    <mergeCell ref="L31:Q31"/>
    <mergeCell ref="AB31:AC31"/>
    <mergeCell ref="AP15:AP16"/>
    <mergeCell ref="A18:B18"/>
    <mergeCell ref="AQ43:AR43"/>
    <mergeCell ref="W3:AG3"/>
    <mergeCell ref="AZ1:BO1"/>
    <mergeCell ref="D55:I55"/>
    <mergeCell ref="AB43:AC43"/>
    <mergeCell ref="AP27:AP28"/>
    <mergeCell ref="A42:B42"/>
    <mergeCell ref="U1:AI1"/>
    <mergeCell ref="AQ19:AR19"/>
    <mergeCell ref="D19:I19"/>
    <mergeCell ref="AB7:AC7"/>
    <mergeCell ref="L7:Q7"/>
    <mergeCell ref="AQ31:AR31"/>
    <mergeCell ref="BM6:BO6"/>
    <mergeCell ref="BB3:BM3"/>
    <mergeCell ref="L19:Q19"/>
    <mergeCell ref="AA51:AA52"/>
    <mergeCell ref="D31:I31"/>
    <mergeCell ref="AB19:AC19"/>
    <mergeCell ref="A2:D2"/>
    <mergeCell ref="L43:Q43"/>
  </mergeCells>
  <dataValidations count="3">
    <dataValidation sqref="R2" showDropDown="0" showInputMessage="1" showErrorMessage="1" allowBlank="1" prompt="SQUADRA DI CASA - Indicare il numero di set vinti." type="decimal">
      <formula1>0.0</formula1>
      <formula2>3.0</formula2>
    </dataValidation>
    <dataValidation sqref="T2" showDropDown="0" showInputMessage="1" showErrorMessage="1" allowBlank="1" prompt="SQUADRA IN TRASFERTA - Indicare il numero di set vinti." type="decimal">
      <formula1>0.0</formula1>
      <formula2>3.0</formula2>
    </dataValidation>
    <dataValidation sqref="B8 B20 B32 B44 B56" showDropDown="0" showInputMessage="1" showErrorMessage="1" allowBlank="1" prompt="FASE INIZIALE - Inserire la posizione iniziale del palleggiatore della propria squadra. Il numero deve essere compreso tra 1 e 6." type="decimal">
      <formula1>1.0</formula1>
      <formula2>6.0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416"/>
  <sheetViews>
    <sheetView workbookViewId="0">
      <selection activeCell="A1" sqref="A1"/>
    </sheetView>
  </sheetViews>
  <sheetFormatPr baseColWidth="8" defaultColWidth="12.63" defaultRowHeight="15" customHeight="1"/>
  <cols>
    <col width="6.25" customWidth="1" style="111" min="1" max="34"/>
  </cols>
  <sheetData>
    <row r="1" ht="18.75" customHeight="1" s="111">
      <c r="A1" s="112" t="inlineStr">
        <is>
          <t>RIASSUNTO SCALARE - GIRONE DI ANDATA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4" t="n"/>
      <c r="P1" s="112" t="inlineStr">
        <is>
          <t>RIASSUNTO SCALARE - GIRONE DI ANDATA</t>
        </is>
      </c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4" t="n"/>
      <c r="AE1" s="6" t="n"/>
      <c r="AF1" s="6" t="n"/>
      <c r="AG1" s="6" t="n"/>
      <c r="AH1" s="6" t="n"/>
    </row>
    <row r="2" ht="13.5" customHeight="1" s="111">
      <c r="A2" s="104" t="n"/>
      <c r="B2" s="105" t="n"/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6" t="n"/>
      <c r="P2" s="104" t="n"/>
      <c r="Q2" s="105" t="n"/>
      <c r="R2" s="105" t="n"/>
      <c r="S2" s="105" t="n"/>
      <c r="T2" s="105" t="n"/>
      <c r="U2" s="105" t="n"/>
      <c r="V2" s="105" t="n"/>
      <c r="W2" s="105" t="n"/>
      <c r="X2" s="105" t="n"/>
      <c r="Y2" s="105" t="n"/>
      <c r="Z2" s="105" t="n"/>
      <c r="AA2" s="105" t="n"/>
      <c r="AB2" s="105" t="n"/>
      <c r="AC2" s="105" t="n"/>
      <c r="AD2" s="106" t="n"/>
      <c r="AE2" s="6" t="n"/>
      <c r="AF2" s="6" t="n"/>
      <c r="AG2" s="6" t="n"/>
      <c r="AH2" s="6" t="n"/>
    </row>
    <row r="3" ht="16.5" customHeight="1" s="111">
      <c r="A3" s="9" t="n"/>
      <c r="B3" s="6" t="n"/>
      <c r="C3" s="6" t="n"/>
      <c r="D3" s="117" t="inlineStr">
        <is>
          <t>PUNTI FATTI E RELATIVI GRAFICI</t>
        </is>
      </c>
      <c r="E3" s="113" t="n"/>
      <c r="F3" s="113" t="n"/>
      <c r="G3" s="113" t="n"/>
      <c r="H3" s="113" t="n"/>
      <c r="I3" s="113" t="n"/>
      <c r="J3" s="113" t="n"/>
      <c r="K3" s="113" t="n"/>
      <c r="L3" s="114" t="n"/>
      <c r="M3" s="6" t="n"/>
      <c r="N3" s="6" t="n"/>
      <c r="O3" s="11" t="n"/>
      <c r="P3" s="9" t="n"/>
      <c r="Q3" s="6" t="n"/>
      <c r="R3" s="6" t="n"/>
      <c r="S3" s="117" t="inlineStr">
        <is>
          <t>PUNTI SUBITI E RELATIVI GRAFICI</t>
        </is>
      </c>
      <c r="T3" s="113" t="n"/>
      <c r="U3" s="113" t="n"/>
      <c r="V3" s="113" t="n"/>
      <c r="W3" s="113" t="n"/>
      <c r="X3" s="113" t="n"/>
      <c r="Y3" s="113" t="n"/>
      <c r="Z3" s="113" t="n"/>
      <c r="AA3" s="114" t="n"/>
      <c r="AB3" s="6" t="n"/>
      <c r="AC3" s="6" t="n"/>
      <c r="AD3" s="11" t="n"/>
      <c r="AE3" s="6" t="n"/>
      <c r="AF3" s="6" t="n"/>
      <c r="AG3" s="6" t="n"/>
      <c r="AH3" s="6" t="n"/>
    </row>
    <row r="4" ht="13.5" customHeight="1" s="111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11" t="n"/>
      <c r="P4" s="9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11" t="n"/>
      <c r="AE4" s="6" t="n"/>
      <c r="AF4" s="6" t="n"/>
      <c r="AG4" s="6" t="n"/>
      <c r="AH4" s="6" t="n"/>
    </row>
    <row r="5" ht="13.5" customHeight="1" s="111">
      <c r="A5" s="16" t="n"/>
      <c r="B5" s="18" t="inlineStr">
        <is>
          <t>TPF</t>
        </is>
      </c>
      <c r="C5" s="19">
        <f>Gara_1!BB6+Gara_2!BB6+Gara_3!BB6+Gara_4!BB6+Gara_5!BB6+Gara_6!BB6+Gara_7!BB6+Gara_8!BB6+Gara_9!BB6+Gara_10!BB6+Gara_11!BB6+Gara_12!BB6+Gara_13!BB6+Gara_14!BB6+Gara_15!BB6</f>
        <v/>
      </c>
      <c r="D5" s="14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11" t="n"/>
      <c r="P5" s="16" t="n"/>
      <c r="Q5" s="18" t="inlineStr">
        <is>
          <t>TPS</t>
        </is>
      </c>
      <c r="R5" s="19">
        <f>Gara_1!BK6+Gara_2!BK6+Gara_3!BK6+Gara_4!BK6+Gara_5!BK6+Gara_6!BK6+Gara_7!BK6+Gara_8!BK6+Gara_9!BK6+Gara_10!BK6+Gara_11!BK6+Gara_12!BK6+Gara_13!BK6+Gara_14!BK6+Gara_15!BK6</f>
        <v/>
      </c>
      <c r="S5" s="14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11" t="n"/>
      <c r="AE5" s="6" t="n"/>
      <c r="AF5" s="6" t="n"/>
      <c r="AG5" s="6" t="n"/>
      <c r="AH5" s="6" t="n"/>
    </row>
    <row r="6" ht="13.5" customHeight="1" s="111">
      <c r="A6" s="27" t="inlineStr">
        <is>
          <t>P</t>
        </is>
      </c>
      <c r="B6" s="27" t="n">
        <v>1</v>
      </c>
      <c r="C6" s="27" t="n">
        <v>2</v>
      </c>
      <c r="D6" s="27" t="n">
        <v>3</v>
      </c>
      <c r="E6" s="27" t="n">
        <v>4</v>
      </c>
      <c r="F6" s="27" t="n">
        <v>5</v>
      </c>
      <c r="G6" s="27" t="n">
        <v>6</v>
      </c>
      <c r="H6" s="107" t="inlineStr">
        <is>
          <t>ATT 2</t>
        </is>
      </c>
      <c r="I6" s="107" t="inlineStr">
        <is>
          <t>ATT 3</t>
        </is>
      </c>
      <c r="J6" s="108" t="inlineStr">
        <is>
          <t>TOT</t>
        </is>
      </c>
      <c r="K6" s="6" t="n"/>
      <c r="L6" s="6" t="n"/>
      <c r="M6" s="6" t="n"/>
      <c r="N6" s="6" t="n"/>
      <c r="O6" s="11" t="n"/>
      <c r="P6" s="27" t="inlineStr">
        <is>
          <t>P</t>
        </is>
      </c>
      <c r="Q6" s="109" t="n">
        <v>1</v>
      </c>
      <c r="R6" s="109" t="n">
        <v>2</v>
      </c>
      <c r="S6" s="109" t="n">
        <v>3</v>
      </c>
      <c r="T6" s="109" t="n">
        <v>4</v>
      </c>
      <c r="U6" s="109" t="n">
        <v>5</v>
      </c>
      <c r="V6" s="109" t="n">
        <v>6</v>
      </c>
      <c r="W6" s="107" t="inlineStr">
        <is>
          <t>ATT 2</t>
        </is>
      </c>
      <c r="X6" s="107" t="inlineStr">
        <is>
          <t>ATT 3</t>
        </is>
      </c>
      <c r="Y6" s="108" t="inlineStr">
        <is>
          <t>TOT</t>
        </is>
      </c>
      <c r="Z6" s="6" t="n"/>
      <c r="AA6" s="6" t="n"/>
      <c r="AB6" s="6" t="n"/>
      <c r="AC6" s="6" t="n"/>
      <c r="AD6" s="11" t="n"/>
      <c r="AE6" s="6" t="n"/>
      <c r="AF6" s="6" t="n"/>
      <c r="AG6" s="6" t="n"/>
      <c r="AH6" s="6" t="n"/>
    </row>
    <row r="7" ht="13.5" customHeight="1" s="111">
      <c r="A7" s="40" t="inlineStr">
        <is>
          <t>TT</t>
        </is>
      </c>
      <c r="B7" s="37">
        <f>Gara_1!BA8+Gara_2!BA8+Gara_3!BA8+Gara_4!BA8+Gara_5!BA8+Gara_6!BA8+Gara_7!BA8+Gara_8!BA8+Gara_9!BA8+Gara_10!BA8+Gara_11!BA8+Gara_12!BA8+Gara_13!BA8+Gara_14!BA8+Gara_15!BA8</f>
        <v/>
      </c>
      <c r="C7" s="38">
        <f>Gara_1!BB8+Gara_2!BB8+Gara_3!BB8+Gara_4!BB8+Gara_5!BB8+Gara_6!BB8+Gara_7!BB8+Gara_8!BB8+Gara_9!BB8+Gara_10!BB8+Gara_11!BB8+Gara_12!BB8+Gara_13!BB8+Gara_14!BB8+Gara_15!BB8</f>
        <v/>
      </c>
      <c r="D7" s="38">
        <f>Gara_1!BC8+Gara_2!BC8+Gara_3!BC8+Gara_4!BC8+Gara_5!BC8+Gara_6!BC8+Gara_7!BC8+Gara_8!BC8+Gara_9!BC8+Gara_10!BC8+Gara_11!BC8+Gara_12!BC8+Gara_13!BC8+Gara_14!BC8+Gara_15!BC8</f>
        <v/>
      </c>
      <c r="E7" s="38">
        <f>Gara_1!BD8+Gara_2!BD8+Gara_3!BD8+Gara_4!BD8+Gara_5!BD8+Gara_6!BD8+Gara_7!BD8+Gara_8!BD8+Gara_9!BD8+Gara_10!BD8+Gara_11!BD8+Gara_12!BD8+Gara_13!BD8+Gara_14!BD8+Gara_15!BD8</f>
        <v/>
      </c>
      <c r="F7" s="38">
        <f>Gara_1!BE8+Gara_2!BE8+Gara_3!BE8+Gara_4!BE8+Gara_5!BE8+Gara_6!BE8+Gara_7!BE8+Gara_8!BE8+Gara_9!BE8+Gara_10!BE8+Gara_11!BE8+Gara_12!BE8+Gara_13!BE8+Gara_14!BE8+Gara_15!BE8</f>
        <v/>
      </c>
      <c r="G7" s="39">
        <f>Gara_1!BF8+Gara_2!BF8+Gara_3!BF8+Gara_4!BF8+Gara_5!BF8+Gara_6!BF8+Gara_7!BF8+Gara_8!BF8+Gara_9!BF8+Gara_10!BF8+Gara_11!BF8+Gara_12!BF8+Gara_13!BF8+Gara_14!BF8+Gara_15!BF8</f>
        <v/>
      </c>
      <c r="H7" s="37">
        <f>C7+D7+E7</f>
        <v/>
      </c>
      <c r="I7" s="39">
        <f>B7+F7+G7</f>
        <v/>
      </c>
      <c r="J7" s="39">
        <f>SUM(B7:G7)</f>
        <v/>
      </c>
      <c r="K7" s="6" t="n"/>
      <c r="L7" s="6" t="n"/>
      <c r="M7" s="6" t="n"/>
      <c r="N7" s="6" t="n"/>
      <c r="O7" s="11" t="n"/>
      <c r="P7" s="40" t="inlineStr">
        <is>
          <t>TT</t>
        </is>
      </c>
      <c r="Q7" s="37">
        <f>Gara_1!BJ8+Gara_2!BJ8+Gara_3!BJ8+Gara_4!BJ8+Gara_5!BJ8+Gara_6!BJ8+Gara_7!BJ8+Gara_8!BJ8+Gara_9!BJ8+Gara_10!BJ8+Gara_11!BJ8+Gara_12!BJ8+Gara_13!BJ8+Gara_14!BJ8+Gara_15!BJ8</f>
        <v/>
      </c>
      <c r="R7" s="38">
        <f>Gara_1!BK8+Gara_2!BK8+Gara_3!BK8+Gara_4!BK8+Gara_5!BK8+Gara_6!BK8+Gara_7!BK8+Gara_8!BK8+Gara_9!BK8+Gara_10!BK8+Gara_11!BK8+Gara_12!BK8+Gara_13!BK8+Gara_14!BK8+Gara_15!BK8</f>
        <v/>
      </c>
      <c r="S7" s="38">
        <f>Gara_1!BL8+Gara_2!BL8+Gara_3!BL8+Gara_4!BL8+Gara_5!BL8+Gara_6!BL8+Gara_7!BL8+Gara_8!BL8+Gara_9!BL8+Gara_10!BL8+Gara_11!BL8+Gara_12!BL8+Gara_13!BL8+Gara_14!BL8+Gara_15!BL8</f>
        <v/>
      </c>
      <c r="T7" s="38">
        <f>Gara_1!BM8+Gara_2!BM8+Gara_3!BM8+Gara_4!BM8+Gara_5!BM8+Gara_6!BM8+Gara_7!BM8+Gara_8!BM8+Gara_9!BM8+Gara_10!BM8+Gara_11!BM8+Gara_12!BM8+Gara_13!BM8+Gara_14!BM8+Gara_15!BM8</f>
        <v/>
      </c>
      <c r="U7" s="38">
        <f>Gara_1!BN8+Gara_2!BN8+Gara_3!BN8+Gara_4!BN8+Gara_5!BN8+Gara_6!BN8+Gara_7!BN8+Gara_8!BN8+Gara_9!BN8+Gara_10!BN8+Gara_11!BN8+Gara_12!BN8+Gara_13!BN8+Gara_14!BN8+Gara_15!BN8</f>
        <v/>
      </c>
      <c r="V7" s="39">
        <f>Gara_1!BO8+Gara_2!BO8+Gara_3!BO8+Gara_4!BO8+Gara_5!BO8+Gara_6!BO8+Gara_7!BO8+Gara_8!BO8+Gara_9!BO8+Gara_10!BO8+Gara_11!BO8+Gara_12!BO8+Gara_13!BO8+Gara_14!BO8+Gara_15!BO8</f>
        <v/>
      </c>
      <c r="W7" s="37">
        <f>R7+S7+T7</f>
        <v/>
      </c>
      <c r="X7" s="39">
        <f>Q7+U7+V7</f>
        <v/>
      </c>
      <c r="Y7" s="39">
        <f>SUM(Q7:V7)</f>
        <v/>
      </c>
      <c r="Z7" s="6" t="n"/>
      <c r="AA7" s="6" t="n"/>
      <c r="AB7" s="6" t="n"/>
      <c r="AC7" s="6" t="n"/>
      <c r="AD7" s="11" t="n"/>
      <c r="AE7" s="6" t="n"/>
      <c r="AF7" s="6" t="n"/>
      <c r="AG7" s="6" t="n"/>
      <c r="AH7" s="6" t="n"/>
    </row>
    <row r="8" ht="13.5" customHeight="1" s="111">
      <c r="A8" s="40" t="inlineStr">
        <is>
          <t>TP</t>
        </is>
      </c>
      <c r="B8" s="16">
        <f>Gara_1!BA9+Gara_2!BA9+Gara_3!BA9+Gara_4!BA9+Gara_5!BA9+Gara_6!BA9+Gara_7!BA9+Gara_8!BA9+Gara_9!BA9+Gara_10!BA9+Gara_11!BA9+Gara_12!BA9+Gara_13!BA9+Gara_14!BA9+Gara_15!BA9</f>
        <v/>
      </c>
      <c r="C8" s="14">
        <f>Gara_1!BB9+Gara_2!BB9+Gara_3!BB9+Gara_4!BB9+Gara_5!BB9+Gara_6!BB9+Gara_7!BB9+Gara_8!BB9+Gara_9!BB9+Gara_10!BB9+Gara_11!BB9+Gara_12!BB9+Gara_13!BB9+Gara_14!BB9+Gara_15!BB9</f>
        <v/>
      </c>
      <c r="D8" s="14">
        <f>Gara_1!BC9+Gara_2!BC9+Gara_3!BC9+Gara_4!BC9+Gara_5!BC9+Gara_6!BC9+Gara_7!BC9+Gara_8!BC9+Gara_9!BC9+Gara_10!BC9+Gara_11!BC9+Gara_12!BC9+Gara_13!BC9+Gara_14!BC9+Gara_15!BC9</f>
        <v/>
      </c>
      <c r="E8" s="14">
        <f>Gara_1!BD9+Gara_2!BD9+Gara_3!BD9+Gara_4!BD9+Gara_5!BD9+Gara_6!BD9+Gara_7!BD9+Gara_8!BD9+Gara_9!BD9+Gara_10!BD9+Gara_11!BD9+Gara_12!BD9+Gara_13!BD9+Gara_14!BD9+Gara_15!BD9</f>
        <v/>
      </c>
      <c r="F8" s="14">
        <f>Gara_1!BE9+Gara_2!BE9+Gara_3!BE9+Gara_4!BE9+Gara_5!BE9+Gara_6!BE9+Gara_7!BE9+Gara_8!BE9+Gara_9!BE9+Gara_10!BE9+Gara_11!BE9+Gara_12!BE9+Gara_13!BE9+Gara_14!BE9+Gara_15!BE9</f>
        <v/>
      </c>
      <c r="G8" s="15">
        <f>Gara_1!BF9+Gara_2!BF9+Gara_3!BF9+Gara_4!BF9+Gara_5!BF9+Gara_6!BF9+Gara_7!BF9+Gara_8!BF9+Gara_9!BF9+Gara_10!BF9+Gara_11!BF9+Gara_12!BF9+Gara_13!BF9+Gara_14!BF9+Gara_15!BF9</f>
        <v/>
      </c>
      <c r="H8" s="16">
        <f>C8+D8+E8</f>
        <v/>
      </c>
      <c r="I8" s="15">
        <f>B8+F8+G8</f>
        <v/>
      </c>
      <c r="J8" s="15">
        <f>SUM(B8:G8)</f>
        <v/>
      </c>
      <c r="K8" s="6" t="n"/>
      <c r="L8" s="6" t="n"/>
      <c r="M8" s="6" t="n"/>
      <c r="N8" s="6" t="n"/>
      <c r="O8" s="11" t="n"/>
      <c r="P8" s="40" t="inlineStr">
        <is>
          <t>TP</t>
        </is>
      </c>
      <c r="Q8" s="16">
        <f>Gara_1!BJ9+Gara_2!BJ9+Gara_3!BJ9+Gara_4!BJ9+Gara_5!BJ9+Gara_6!BJ9+Gara_7!BJ9+Gara_8!BJ9+Gara_9!BJ9+Gara_10!BJ9+Gara_11!BJ9+Gara_12!BJ9+Gara_13!BJ9+Gara_14!BJ9+Gara_15!BJ9</f>
        <v/>
      </c>
      <c r="R8" s="14">
        <f>Gara_1!BK9+Gara_2!BK9+Gara_3!BK9+Gara_4!BK9+Gara_5!BK9+Gara_6!BK9+Gara_7!BK9+Gara_8!BK9+Gara_9!BK9+Gara_10!BK9+Gara_11!BK9+Gara_12!BK9+Gara_13!BK9+Gara_14!BK9+Gara_15!BK9</f>
        <v/>
      </c>
      <c r="S8" s="14">
        <f>Gara_1!BL9+Gara_2!BL9+Gara_3!BL9+Gara_4!BL9+Gara_5!BL9+Gara_6!BL9+Gara_7!BL9+Gara_8!BL9+Gara_9!BL9+Gara_10!BL9+Gara_11!BL9+Gara_12!BL9+Gara_13!BL9+Gara_14!BL9+Gara_15!BL9</f>
        <v/>
      </c>
      <c r="T8" s="14">
        <f>Gara_1!BM9+Gara_2!BM9+Gara_3!BM9+Gara_4!BM9+Gara_5!BM9+Gara_6!BM9+Gara_7!BM9+Gara_8!BM9+Gara_9!BM9+Gara_10!BM9+Gara_11!BM9+Gara_12!BM9+Gara_13!BM9+Gara_14!BM9+Gara_15!BM9</f>
        <v/>
      </c>
      <c r="U8" s="14">
        <f>Gara_1!BN9+Gara_2!BN9+Gara_3!BN9+Gara_4!BN9+Gara_5!BN9+Gara_6!BN9+Gara_7!BN9+Gara_8!BN9+Gara_9!BN9+Gara_10!BN9+Gara_11!BN9+Gara_12!BN9+Gara_13!BN9+Gara_14!BN9+Gara_15!BN9</f>
        <v/>
      </c>
      <c r="V8" s="15">
        <f>Gara_1!BO9+Gara_2!BO9+Gara_3!BO9+Gara_4!BO9+Gara_5!BO9+Gara_6!BO9+Gara_7!BO9+Gara_8!BO9+Gara_9!BO9+Gara_10!BO9+Gara_11!BO9+Gara_12!BO9+Gara_13!BO9+Gara_14!BO9+Gara_15!BO9</f>
        <v/>
      </c>
      <c r="W8" s="16">
        <f>R8+S8+T8</f>
        <v/>
      </c>
      <c r="X8" s="15">
        <f>Q8+U8+V8</f>
        <v/>
      </c>
      <c r="Y8" s="15">
        <f>SUM(Q8:V8)</f>
        <v/>
      </c>
      <c r="Z8" s="6" t="n"/>
      <c r="AA8" s="6" t="n"/>
      <c r="AB8" s="6" t="n"/>
      <c r="AC8" s="6" t="n"/>
      <c r="AD8" s="11" t="n"/>
      <c r="AE8" s="6" t="n"/>
      <c r="AF8" s="6" t="n"/>
      <c r="AG8" s="6" t="n"/>
      <c r="AH8" s="6" t="n"/>
    </row>
    <row r="9" ht="13.5" customHeight="1" s="111">
      <c r="A9" s="40" t="inlineStr">
        <is>
          <t>MP</t>
        </is>
      </c>
      <c r="B9" s="56">
        <f>IF(B7=0,0,B8/B7)</f>
        <v/>
      </c>
      <c r="C9" s="17">
        <f>IF(C7=0,0,C8/C7)</f>
        <v/>
      </c>
      <c r="D9" s="17">
        <f>IF(D7=0,0,D8/D7)</f>
        <v/>
      </c>
      <c r="E9" s="17">
        <f>IF(E7=0,0,E8/E7)</f>
        <v/>
      </c>
      <c r="F9" s="17">
        <f>IF(F7=0,0,F8/F7)</f>
        <v/>
      </c>
      <c r="G9" s="57">
        <f>IF(G7=0,0,G8/G7)</f>
        <v/>
      </c>
      <c r="H9" s="56">
        <f>IF(H7=0,0,H8/H7)</f>
        <v/>
      </c>
      <c r="I9" s="57">
        <f>IF(I7=0,0,I8/I7)</f>
        <v/>
      </c>
      <c r="J9" s="57">
        <f>IF(J7=0,0,J8/J7)</f>
        <v/>
      </c>
      <c r="K9" s="6" t="n"/>
      <c r="L9" s="6" t="n"/>
      <c r="M9" s="6" t="n"/>
      <c r="N9" s="6" t="n"/>
      <c r="O9" s="11" t="n"/>
      <c r="P9" s="40" t="inlineStr">
        <is>
          <t>MP</t>
        </is>
      </c>
      <c r="Q9" s="56">
        <f>IF(Q7=0,0,Q8/Q7)</f>
        <v/>
      </c>
      <c r="R9" s="17">
        <f>IF(R7=0,0,R8/R7)</f>
        <v/>
      </c>
      <c r="S9" s="17">
        <f>IF(S7=0,0,S8/S7)</f>
        <v/>
      </c>
      <c r="T9" s="17">
        <f>IF(T7=0,0,T8/T7)</f>
        <v/>
      </c>
      <c r="U9" s="17">
        <f>IF(U7=0,0,U8/U7)</f>
        <v/>
      </c>
      <c r="V9" s="57">
        <f>IF(V7=0,0,V8/V7)</f>
        <v/>
      </c>
      <c r="W9" s="56">
        <f>IF(W7=0,0,W8/W7)</f>
        <v/>
      </c>
      <c r="X9" s="57">
        <f>IF(X7=0,0,X8/X7)</f>
        <v/>
      </c>
      <c r="Y9" s="57">
        <f>IF(Y7=0,0,Y8/Y7)</f>
        <v/>
      </c>
      <c r="Z9" s="6" t="n"/>
      <c r="AA9" s="6" t="n"/>
      <c r="AB9" s="6" t="n"/>
      <c r="AC9" s="6" t="n"/>
      <c r="AD9" s="11" t="n"/>
      <c r="AE9" s="6" t="n"/>
      <c r="AF9" s="6" t="n"/>
      <c r="AG9" s="6" t="n"/>
      <c r="AH9" s="6" t="n"/>
    </row>
    <row r="10" ht="13.5" customHeight="1" s="111">
      <c r="A10" s="36" t="inlineStr">
        <is>
          <t>%PT</t>
        </is>
      </c>
      <c r="B10" s="56">
        <f>IF($C$5=0,0,(B8/$C$5)*100)</f>
        <v/>
      </c>
      <c r="C10" s="17">
        <f>IF($C$5=0,0,(C8/$C$5)*100)</f>
        <v/>
      </c>
      <c r="D10" s="17">
        <f>IF($C$5=0,0,(D8/$C$5)*100)</f>
        <v/>
      </c>
      <c r="E10" s="17">
        <f>IF($C$5=0,0,(E8/$C$5)*100)</f>
        <v/>
      </c>
      <c r="F10" s="17">
        <f>IF($C$5=0,0,(F8/$C$5)*100)</f>
        <v/>
      </c>
      <c r="G10" s="57">
        <f>IF($C$5=0,0,(G8/$C$5)*100)</f>
        <v/>
      </c>
      <c r="H10" s="56">
        <f>IF($C$5=0,0,(H8/$C$5)*100)</f>
        <v/>
      </c>
      <c r="I10" s="57">
        <f>IF($C$5=0,0,(I8/$C$5)*100)</f>
        <v/>
      </c>
      <c r="J10" s="57">
        <f>SUM(B10:G10)</f>
        <v/>
      </c>
      <c r="K10" s="6" t="n"/>
      <c r="L10" s="6" t="n"/>
      <c r="M10" s="6" t="n"/>
      <c r="N10" s="6" t="n"/>
      <c r="O10" s="11" t="n"/>
      <c r="P10" s="40" t="inlineStr">
        <is>
          <t>%PT</t>
        </is>
      </c>
      <c r="Q10" s="56">
        <f>IF($R$5=0,0,(Q8/$R$5)*100)</f>
        <v/>
      </c>
      <c r="R10" s="17">
        <f>IF($R$5=0,0,(R8/$R$5)*100)</f>
        <v/>
      </c>
      <c r="S10" s="17">
        <f>IF($R$5=0,0,(S8/$R$5)*100)</f>
        <v/>
      </c>
      <c r="T10" s="17">
        <f>IF($R$5=0,0,(T8/$R$5)*100)</f>
        <v/>
      </c>
      <c r="U10" s="17">
        <f>IF($R$5=0,0,(U8/$R$5)*100)</f>
        <v/>
      </c>
      <c r="V10" s="57">
        <f>IF($R$5=0,0,(V8/$R$5)*100)</f>
        <v/>
      </c>
      <c r="W10" s="56">
        <f>IF($R$5=0,0,(W8/$R$5)*100)</f>
        <v/>
      </c>
      <c r="X10" s="57">
        <f>IF($R$5=0,0,(X8/$R$5)*100)</f>
        <v/>
      </c>
      <c r="Y10" s="57">
        <f>IF($R$5=0,0,(Y8/$R$5)*100)</f>
        <v/>
      </c>
      <c r="Z10" s="6" t="n"/>
      <c r="AA10" s="6" t="n"/>
      <c r="AB10" s="6" t="n"/>
      <c r="AC10" s="6" t="n"/>
      <c r="AD10" s="11" t="n"/>
      <c r="AE10" s="6" t="n"/>
      <c r="AF10" s="6" t="n"/>
      <c r="AG10" s="6" t="n"/>
      <c r="AH10" s="6" t="n"/>
    </row>
    <row r="11" ht="13.5" customHeight="1" s="111">
      <c r="A11" s="63" t="inlineStr">
        <is>
          <t>%=0</t>
        </is>
      </c>
      <c r="B11" s="60">
        <f>IF(B$7=0,0,(D82/B$7)*100)</f>
        <v/>
      </c>
      <c r="C11" s="61">
        <f>IF(C$7=0,0,(E82/C$7)*100)</f>
        <v/>
      </c>
      <c r="D11" s="61">
        <f>IF(D$7=0,0,(F82/D$7)*100)</f>
        <v/>
      </c>
      <c r="E11" s="61">
        <f>IF(E$7=0,0,(G82/E$7)*100)</f>
        <v/>
      </c>
      <c r="F11" s="61">
        <f>IF(F$7=0,0,(H82/F$7)*100)</f>
        <v/>
      </c>
      <c r="G11" s="62">
        <f>IF(G$7=0,0,(I82/G$7)*100)</f>
        <v/>
      </c>
      <c r="H11" s="60">
        <f>IF(H$7=0,0,(J82/H$7)*100)</f>
        <v/>
      </c>
      <c r="I11" s="62">
        <f>IF(I$7=0,0,(K82/I$7)*100)</f>
        <v/>
      </c>
      <c r="J11" s="62">
        <f>IF(J$7=0,0,(L82/J$7)*100)</f>
        <v/>
      </c>
      <c r="K11" s="6" t="n"/>
      <c r="L11" s="6" t="n"/>
      <c r="M11" s="6" t="n"/>
      <c r="N11" s="6" t="n"/>
      <c r="O11" s="11" t="n"/>
      <c r="P11" s="63" t="inlineStr">
        <is>
          <t>%=0</t>
        </is>
      </c>
      <c r="Q11" s="60">
        <f>IF(Q$7=0,0,(S82/Q$7)*100)</f>
        <v/>
      </c>
      <c r="R11" s="61">
        <f>IF(R$7=0,0,(T82/R$7)*100)</f>
        <v/>
      </c>
      <c r="S11" s="61">
        <f>IF(S$7=0,0,(U82/S$7)*100)</f>
        <v/>
      </c>
      <c r="T11" s="61">
        <f>IF(T$7=0,0,(V82/T$7)*100)</f>
        <v/>
      </c>
      <c r="U11" s="61">
        <f>IF(U$7=0,0,(W82/U$7)*100)</f>
        <v/>
      </c>
      <c r="V11" s="62">
        <f>IF(V$7=0,0,(X82/V$7)*100)</f>
        <v/>
      </c>
      <c r="W11" s="60">
        <f>IF(W$7=0,0,(Y82/W$7)*100)</f>
        <v/>
      </c>
      <c r="X11" s="62">
        <f>IF(X$7=0,0,(Z82/X$7)*100)</f>
        <v/>
      </c>
      <c r="Y11" s="62">
        <f>IF(Y$7=0,0,(AA82/Y$7)*100)</f>
        <v/>
      </c>
      <c r="Z11" s="6" t="n"/>
      <c r="AA11" s="6" t="n"/>
      <c r="AB11" s="6" t="n"/>
      <c r="AC11" s="6" t="n"/>
      <c r="AD11" s="11" t="n"/>
      <c r="AE11" s="6" t="n"/>
      <c r="AF11" s="6" t="n"/>
      <c r="AG11" s="6" t="n"/>
      <c r="AH11" s="6" t="n"/>
    </row>
    <row r="12" ht="13.5" customHeight="1" s="111">
      <c r="A12" s="40" t="inlineStr">
        <is>
          <t>%&gt;0</t>
        </is>
      </c>
      <c r="B12" s="56">
        <f>IF(B$7=0,0,(D83/B$7)*100)</f>
        <v/>
      </c>
      <c r="C12" s="17">
        <f>IF(C$7=0,0,(E83/C$7)*100)</f>
        <v/>
      </c>
      <c r="D12" s="17">
        <f>IF(D$7=0,0,(F83/D$7)*100)</f>
        <v/>
      </c>
      <c r="E12" s="17">
        <f>IF(E$7=0,0,(G83/E$7)*100)</f>
        <v/>
      </c>
      <c r="F12" s="17">
        <f>IF(F$7=0,0,(H83/F$7)*100)</f>
        <v/>
      </c>
      <c r="G12" s="57">
        <f>IF(G$7=0,0,(I83/G$7)*100)</f>
        <v/>
      </c>
      <c r="H12" s="56">
        <f>IF(H$7=0,0,(J83/H$7)*100)</f>
        <v/>
      </c>
      <c r="I12" s="57">
        <f>IF(I$7=0,0,(K83/I$7)*100)</f>
        <v/>
      </c>
      <c r="J12" s="57">
        <f>IF(J$7=0,0,(L83/J$7)*100)</f>
        <v/>
      </c>
      <c r="K12" s="6" t="n"/>
      <c r="L12" s="6" t="n"/>
      <c r="M12" s="6" t="n"/>
      <c r="N12" s="6" t="n"/>
      <c r="O12" s="11" t="n"/>
      <c r="P12" s="40" t="inlineStr">
        <is>
          <t>%&gt;0</t>
        </is>
      </c>
      <c r="Q12" s="56">
        <f>IF(Q$7=0,0,(S83/Q$7)*100)</f>
        <v/>
      </c>
      <c r="R12" s="17">
        <f>IF(R$7=0,0,(T83/R$7)*100)</f>
        <v/>
      </c>
      <c r="S12" s="17">
        <f>IF(S$7=0,0,(U83/S$7)*100)</f>
        <v/>
      </c>
      <c r="T12" s="17">
        <f>IF(T$7=0,0,(V83/T$7)*100)</f>
        <v/>
      </c>
      <c r="U12" s="17">
        <f>IF(U$7=0,0,(W83/U$7)*100)</f>
        <v/>
      </c>
      <c r="V12" s="57">
        <f>IF(V$7=0,0,(X83/V$7)*100)</f>
        <v/>
      </c>
      <c r="W12" s="56">
        <f>IF(W$7=0,0,(Y83/W$7)*100)</f>
        <v/>
      </c>
      <c r="X12" s="57">
        <f>IF(X$7=0,0,(Z83/X$7)*100)</f>
        <v/>
      </c>
      <c r="Y12" s="57">
        <f>IF(Y$7=0,0,(AA83/Y$7)*100)</f>
        <v/>
      </c>
      <c r="Z12" s="6" t="n"/>
      <c r="AA12" s="6" t="n"/>
      <c r="AB12" s="6" t="n"/>
      <c r="AC12" s="6" t="n"/>
      <c r="AD12" s="11" t="n"/>
      <c r="AE12" s="6" t="n"/>
      <c r="AF12" s="6" t="n"/>
      <c r="AG12" s="6" t="n"/>
      <c r="AH12" s="6" t="n"/>
    </row>
    <row r="13" ht="13.5" customHeight="1" s="111">
      <c r="A13" s="40" t="inlineStr">
        <is>
          <t>%&gt;1</t>
        </is>
      </c>
      <c r="B13" s="70">
        <f>IF(B$7=0,0,(D84/B$7)*100)</f>
        <v/>
      </c>
      <c r="C13" s="71">
        <f>IF(C$7=0,0,(E84/C$7)*100)</f>
        <v/>
      </c>
      <c r="D13" s="71">
        <f>IF(D$7=0,0,(F84/D$7)*100)</f>
        <v/>
      </c>
      <c r="E13" s="71">
        <f>IF(E$7=0,0,(G84/E$7)*100)</f>
        <v/>
      </c>
      <c r="F13" s="71">
        <f>IF(F$7=0,0,(H84/F$7)*100)</f>
        <v/>
      </c>
      <c r="G13" s="72">
        <f>IF(G$7=0,0,(I84/G$7)*100)</f>
        <v/>
      </c>
      <c r="H13" s="70">
        <f>IF(H$7=0,0,(J84/H$7)*100)</f>
        <v/>
      </c>
      <c r="I13" s="72">
        <f>IF(I$7=0,0,(K84/I$7)*100)</f>
        <v/>
      </c>
      <c r="J13" s="72">
        <f>IF(J$7=0,0,(L84/J$7)*100)</f>
        <v/>
      </c>
      <c r="K13" s="6" t="n"/>
      <c r="L13" s="6" t="n"/>
      <c r="M13" s="6" t="n"/>
      <c r="N13" s="6" t="n"/>
      <c r="O13" s="11" t="n"/>
      <c r="P13" s="40" t="inlineStr">
        <is>
          <t>%&gt;1</t>
        </is>
      </c>
      <c r="Q13" s="70">
        <f>IF(Q$7=0,0,(S84/Q$7)*100)</f>
        <v/>
      </c>
      <c r="R13" s="71">
        <f>IF(R$7=0,0,(T84/R$7)*100)</f>
        <v/>
      </c>
      <c r="S13" s="71">
        <f>IF(S$7=0,0,(U84/S$7)*100)</f>
        <v/>
      </c>
      <c r="T13" s="71">
        <f>IF(T$7=0,0,(V84/T$7)*100)</f>
        <v/>
      </c>
      <c r="U13" s="71">
        <f>IF(U$7=0,0,(W84/U$7)*100)</f>
        <v/>
      </c>
      <c r="V13" s="72">
        <f>IF(V$7=0,0,(X84/V$7)*100)</f>
        <v/>
      </c>
      <c r="W13" s="70">
        <f>IF(W$7=0,0,(Y84/W$7)*100)</f>
        <v/>
      </c>
      <c r="X13" s="72">
        <f>IF(X$7=0,0,(Z84/X$7)*100)</f>
        <v/>
      </c>
      <c r="Y13" s="72">
        <f>IF(Y$7=0,0,(AA84/Y$7)*100)</f>
        <v/>
      </c>
      <c r="Z13" s="6" t="n"/>
      <c r="AA13" s="6" t="n"/>
      <c r="AB13" s="6" t="n"/>
      <c r="AC13" s="6" t="n"/>
      <c r="AD13" s="11" t="n"/>
      <c r="AE13" s="6" t="n"/>
      <c r="AF13" s="6" t="n"/>
      <c r="AG13" s="6" t="n"/>
      <c r="AH13" s="6" t="n"/>
    </row>
    <row r="14" ht="12.75" customHeight="1" s="111">
      <c r="A14" s="9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11" t="n"/>
      <c r="P14" s="9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11" t="n"/>
      <c r="AE14" s="6" t="n"/>
      <c r="AF14" s="6" t="n"/>
      <c r="AG14" s="6" t="n"/>
      <c r="AH14" s="6" t="n"/>
    </row>
    <row r="15" ht="12.75" customHeight="1" s="111">
      <c r="A15" s="9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11" t="n"/>
      <c r="P15" s="9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11" t="n"/>
      <c r="AE15" s="6" t="n"/>
      <c r="AF15" s="6" t="n"/>
      <c r="AG15" s="6" t="n"/>
      <c r="AH15" s="6" t="n"/>
    </row>
    <row r="16" ht="12.75" customHeight="1" s="111">
      <c r="A16" s="9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11" t="n"/>
      <c r="P16" s="9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11" t="n"/>
      <c r="AE16" s="6" t="n"/>
      <c r="AF16" s="6" t="n"/>
      <c r="AG16" s="6" t="n"/>
      <c r="AH16" s="6" t="n"/>
    </row>
    <row r="17" ht="12.75" customHeight="1" s="111">
      <c r="A17" s="9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11" t="n"/>
      <c r="P17" s="9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11" t="n"/>
      <c r="AE17" s="6" t="n"/>
      <c r="AF17" s="6" t="n"/>
      <c r="AG17" s="6" t="n"/>
      <c r="AH17" s="6" t="n"/>
    </row>
    <row r="18" ht="12.75" customHeight="1" s="111">
      <c r="A18" s="9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11" t="n"/>
      <c r="P18" s="9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11" t="n"/>
      <c r="AE18" s="6" t="n"/>
      <c r="AF18" s="6" t="n"/>
      <c r="AG18" s="6" t="n"/>
      <c r="AH18" s="6" t="n"/>
    </row>
    <row r="19" ht="12.75" customHeight="1" s="111">
      <c r="A19" s="9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11" t="n"/>
      <c r="P19" s="9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11" t="n"/>
      <c r="AE19" s="6" t="n"/>
      <c r="AF19" s="6" t="n"/>
      <c r="AG19" s="6" t="n"/>
      <c r="AH19" s="6" t="n"/>
    </row>
    <row r="20" ht="12.75" customHeight="1" s="111">
      <c r="A20" s="9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11" t="n"/>
      <c r="P20" s="9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11" t="n"/>
      <c r="AE20" s="6" t="n"/>
      <c r="AF20" s="6" t="n"/>
      <c r="AG20" s="6" t="n"/>
      <c r="AH20" s="6" t="n"/>
    </row>
    <row r="21" ht="12.75" customHeight="1" s="111">
      <c r="A21" s="9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11" t="n"/>
      <c r="P21" s="9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11" t="n"/>
      <c r="AE21" s="6" t="n"/>
      <c r="AF21" s="6" t="n"/>
      <c r="AG21" s="6" t="n"/>
      <c r="AH21" s="6" t="n"/>
    </row>
    <row r="22" ht="12.75" customHeight="1" s="111">
      <c r="A22" s="9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11" t="n"/>
      <c r="P22" s="9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11" t="n"/>
      <c r="AE22" s="6" t="n"/>
      <c r="AF22" s="6" t="n"/>
      <c r="AG22" s="6" t="n"/>
      <c r="AH22" s="6" t="n"/>
    </row>
    <row r="23" ht="12.75" customHeight="1" s="111">
      <c r="A23" s="9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11" t="n"/>
      <c r="P23" s="9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11" t="n"/>
      <c r="AE23" s="6" t="n"/>
      <c r="AF23" s="6" t="n"/>
      <c r="AG23" s="6" t="n"/>
      <c r="AH23" s="6" t="n"/>
    </row>
    <row r="24" ht="12.75" customHeight="1" s="111">
      <c r="A24" s="9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11" t="n"/>
      <c r="P24" s="9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11" t="n"/>
      <c r="AE24" s="6" t="n"/>
      <c r="AF24" s="6" t="n"/>
      <c r="AG24" s="6" t="n"/>
      <c r="AH24" s="6" t="n"/>
    </row>
    <row r="25" ht="12.75" customHeight="1" s="111">
      <c r="A25" s="9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1" t="n"/>
      <c r="P25" s="9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11" t="n"/>
      <c r="AE25" s="6" t="n"/>
      <c r="AF25" s="6" t="n"/>
      <c r="AG25" s="6" t="n"/>
      <c r="AH25" s="6" t="n"/>
    </row>
    <row r="26" ht="12.75" customHeight="1" s="111">
      <c r="A26" s="9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11" t="n"/>
      <c r="P26" s="9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11" t="n"/>
      <c r="AE26" s="6" t="n"/>
      <c r="AF26" s="6" t="n"/>
      <c r="AG26" s="6" t="n"/>
      <c r="AH26" s="6" t="n"/>
    </row>
    <row r="27" ht="12.75" customHeight="1" s="111">
      <c r="A27" s="9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11" t="n"/>
      <c r="P27" s="9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11" t="n"/>
      <c r="AE27" s="6" t="n"/>
      <c r="AF27" s="6" t="n"/>
      <c r="AG27" s="6" t="n"/>
      <c r="AH27" s="6" t="n"/>
    </row>
    <row r="28" ht="12.75" customHeight="1" s="111">
      <c r="A28" s="9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11" t="n"/>
      <c r="P28" s="9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11" t="n"/>
      <c r="AE28" s="6" t="n"/>
      <c r="AF28" s="6" t="n"/>
      <c r="AG28" s="6" t="n"/>
      <c r="AH28" s="6" t="n"/>
    </row>
    <row r="29" ht="12.75" customHeight="1" s="111">
      <c r="A29" s="9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11" t="n"/>
      <c r="P29" s="9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11" t="n"/>
      <c r="AE29" s="6" t="n"/>
      <c r="AF29" s="6" t="n"/>
      <c r="AG29" s="6" t="n"/>
      <c r="AH29" s="6" t="n"/>
    </row>
    <row r="30" ht="12.75" customHeight="1" s="111">
      <c r="A30" s="9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11" t="n"/>
      <c r="P30" s="9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11" t="n"/>
      <c r="AE30" s="6" t="n"/>
      <c r="AF30" s="6" t="n"/>
      <c r="AG30" s="6" t="n"/>
      <c r="AH30" s="6" t="n"/>
    </row>
    <row r="31" ht="12.75" customHeight="1" s="111">
      <c r="A31" s="9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11" t="n"/>
      <c r="P31" s="9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11" t="n"/>
      <c r="AE31" s="6" t="n"/>
      <c r="AF31" s="6" t="n"/>
      <c r="AG31" s="6" t="n"/>
      <c r="AH31" s="6" t="n"/>
    </row>
    <row r="32" ht="12.75" customHeight="1" s="111">
      <c r="A32" s="9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11" t="n"/>
      <c r="P32" s="9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11" t="n"/>
      <c r="AE32" s="6" t="n"/>
      <c r="AF32" s="6" t="n"/>
      <c r="AG32" s="6" t="n"/>
      <c r="AH32" s="6" t="n"/>
    </row>
    <row r="33" ht="12.75" customHeight="1" s="111">
      <c r="A33" s="9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11" t="n"/>
      <c r="P33" s="9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11" t="n"/>
      <c r="AE33" s="6" t="n"/>
      <c r="AF33" s="6" t="n"/>
      <c r="AG33" s="6" t="n"/>
      <c r="AH33" s="6" t="n"/>
    </row>
    <row r="34" ht="12.75" customHeight="1" s="111">
      <c r="A34" s="9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11" t="n"/>
      <c r="P34" s="9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11" t="n"/>
      <c r="AE34" s="6" t="n"/>
      <c r="AF34" s="6" t="n"/>
      <c r="AG34" s="6" t="n"/>
      <c r="AH34" s="6" t="n"/>
    </row>
    <row r="35" ht="12.75" customHeight="1" s="111">
      <c r="A35" s="9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11" t="n"/>
      <c r="P35" s="9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11" t="n"/>
      <c r="AE35" s="6" t="n"/>
      <c r="AF35" s="6" t="n"/>
      <c r="AG35" s="6" t="n"/>
      <c r="AH35" s="6" t="n"/>
    </row>
    <row r="36" ht="12.75" customHeight="1" s="111">
      <c r="A36" s="9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11" t="n"/>
      <c r="P36" s="9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11" t="n"/>
      <c r="AE36" s="6" t="n"/>
      <c r="AF36" s="6" t="n"/>
      <c r="AG36" s="6" t="n"/>
      <c r="AH36" s="6" t="n"/>
    </row>
    <row r="37" ht="12.75" customHeight="1" s="111">
      <c r="A37" s="9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11" t="n"/>
      <c r="P37" s="9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11" t="n"/>
      <c r="AE37" s="6" t="n"/>
      <c r="AF37" s="6" t="n"/>
      <c r="AG37" s="6" t="n"/>
      <c r="AH37" s="6" t="n"/>
    </row>
    <row r="38" ht="12.75" customHeight="1" s="111">
      <c r="A38" s="9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11" t="n"/>
      <c r="P38" s="9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11" t="n"/>
      <c r="AE38" s="6" t="n"/>
      <c r="AF38" s="6" t="n"/>
      <c r="AG38" s="6" t="n"/>
      <c r="AH38" s="6" t="n"/>
    </row>
    <row r="39" ht="12.75" customHeight="1" s="111">
      <c r="A39" s="9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11" t="n"/>
      <c r="P39" s="9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11" t="n"/>
      <c r="AE39" s="6" t="n"/>
      <c r="AF39" s="6" t="n"/>
      <c r="AG39" s="6" t="n"/>
      <c r="AH39" s="6" t="n"/>
    </row>
    <row r="40" ht="12.75" customHeight="1" s="111">
      <c r="A40" s="9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11" t="n"/>
      <c r="P40" s="9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11" t="n"/>
      <c r="AE40" s="6" t="n"/>
      <c r="AF40" s="6" t="n"/>
      <c r="AG40" s="6" t="n"/>
      <c r="AH40" s="6" t="n"/>
    </row>
    <row r="41" ht="12.75" customHeight="1" s="111">
      <c r="A41" s="9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11" t="n"/>
      <c r="P41" s="9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11" t="n"/>
      <c r="AE41" s="6" t="n"/>
      <c r="AF41" s="6" t="n"/>
      <c r="AG41" s="6" t="n"/>
      <c r="AH41" s="6" t="n"/>
    </row>
    <row r="42" ht="12.75" customHeight="1" s="111">
      <c r="A42" s="9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11" t="n"/>
      <c r="P42" s="9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11" t="n"/>
      <c r="AE42" s="6" t="n"/>
      <c r="AF42" s="6" t="n"/>
      <c r="AG42" s="6" t="n"/>
      <c r="AH42" s="6" t="n"/>
    </row>
    <row r="43" ht="12.75" customHeight="1" s="111">
      <c r="A43" s="9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11" t="n"/>
      <c r="P43" s="9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11" t="n"/>
      <c r="AE43" s="6" t="n"/>
      <c r="AF43" s="6" t="n"/>
      <c r="AG43" s="6" t="n"/>
      <c r="AH43" s="6" t="n"/>
    </row>
    <row r="44" ht="12.75" customHeight="1" s="111">
      <c r="A44" s="9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11" t="n"/>
      <c r="P44" s="9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11" t="n"/>
      <c r="AE44" s="6" t="n"/>
      <c r="AF44" s="6" t="n"/>
      <c r="AG44" s="6" t="n"/>
      <c r="AH44" s="6" t="n"/>
    </row>
    <row r="45" ht="12.75" customHeight="1" s="111">
      <c r="A45" s="9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11" t="n"/>
      <c r="P45" s="9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11" t="n"/>
      <c r="AE45" s="6" t="n"/>
      <c r="AF45" s="6" t="n"/>
      <c r="AG45" s="6" t="n"/>
      <c r="AH45" s="6" t="n"/>
    </row>
    <row r="46" ht="12.75" customHeight="1" s="111">
      <c r="A46" s="9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11" t="n"/>
      <c r="P46" s="9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11" t="n"/>
      <c r="AE46" s="6" t="n"/>
      <c r="AF46" s="6" t="n"/>
      <c r="AG46" s="6" t="n"/>
      <c r="AH46" s="6" t="n"/>
    </row>
    <row r="47" ht="12.75" customHeight="1" s="111">
      <c r="A47" s="9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11" t="n"/>
      <c r="P47" s="9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11" t="n"/>
      <c r="AE47" s="6" t="n"/>
      <c r="AF47" s="6" t="n"/>
      <c r="AG47" s="6" t="n"/>
      <c r="AH47" s="6" t="n"/>
    </row>
    <row r="48" ht="12.75" customHeight="1" s="111">
      <c r="A48" s="9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11" t="n"/>
      <c r="P48" s="9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11" t="n"/>
      <c r="AE48" s="6" t="n"/>
      <c r="AF48" s="6" t="n"/>
      <c r="AG48" s="6" t="n"/>
      <c r="AH48" s="6" t="n"/>
    </row>
    <row r="49" ht="12.75" customHeight="1" s="111">
      <c r="A49" s="9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11" t="n"/>
      <c r="P49" s="9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11" t="n"/>
      <c r="AE49" s="6" t="n"/>
      <c r="AF49" s="6" t="n"/>
      <c r="AG49" s="6" t="n"/>
      <c r="AH49" s="6" t="n"/>
    </row>
    <row r="50" ht="12.75" customHeight="1" s="111">
      <c r="A50" s="9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11" t="n"/>
      <c r="P50" s="9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11" t="n"/>
      <c r="AE50" s="6" t="n"/>
      <c r="AF50" s="6" t="n"/>
      <c r="AG50" s="6" t="n"/>
      <c r="AH50" s="6" t="n"/>
    </row>
    <row r="51" ht="12.75" customHeight="1" s="111">
      <c r="A51" s="9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11" t="n"/>
      <c r="P51" s="9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11" t="n"/>
      <c r="AE51" s="6" t="n"/>
      <c r="AF51" s="6" t="n"/>
      <c r="AG51" s="6" t="n"/>
      <c r="AH51" s="6" t="n"/>
    </row>
    <row r="52" ht="12.75" customHeight="1" s="111">
      <c r="A52" s="9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11" t="n"/>
      <c r="P52" s="9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11" t="n"/>
      <c r="AE52" s="6" t="n"/>
      <c r="AF52" s="6" t="n"/>
      <c r="AG52" s="6" t="n"/>
      <c r="AH52" s="6" t="n"/>
    </row>
    <row r="53" ht="12.75" customHeight="1" s="111">
      <c r="A53" s="9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11" t="n"/>
      <c r="P53" s="9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11" t="n"/>
      <c r="AE53" s="6" t="n"/>
      <c r="AF53" s="6" t="n"/>
      <c r="AG53" s="6" t="n"/>
      <c r="AH53" s="6" t="n"/>
    </row>
    <row r="54" ht="12.75" customHeight="1" s="111">
      <c r="A54" s="9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11" t="n"/>
      <c r="P54" s="9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11" t="n"/>
      <c r="AE54" s="6" t="n"/>
      <c r="AF54" s="6" t="n"/>
      <c r="AG54" s="6" t="n"/>
      <c r="AH54" s="6" t="n"/>
    </row>
    <row r="55" ht="12.75" customHeight="1" s="111">
      <c r="A55" s="9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11" t="n"/>
      <c r="P55" s="9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11" t="n"/>
      <c r="AE55" s="6" t="n"/>
      <c r="AF55" s="6" t="n"/>
      <c r="AG55" s="6" t="n"/>
      <c r="AH55" s="6" t="n"/>
    </row>
    <row r="56" ht="12.75" customHeight="1" s="111">
      <c r="A56" s="9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11" t="n"/>
      <c r="P56" s="9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11" t="n"/>
      <c r="AE56" s="6" t="n"/>
      <c r="AF56" s="6" t="n"/>
      <c r="AG56" s="6" t="n"/>
      <c r="AH56" s="6" t="n"/>
    </row>
    <row r="57" ht="12.75" customHeight="1" s="111">
      <c r="A57" s="9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11" t="n"/>
      <c r="P57" s="9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11" t="n"/>
      <c r="AE57" s="6" t="n"/>
      <c r="AF57" s="6" t="n"/>
      <c r="AG57" s="6" t="n"/>
      <c r="AH57" s="6" t="n"/>
    </row>
    <row r="58" ht="12.75" customHeight="1" s="111">
      <c r="A58" s="9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11" t="n"/>
      <c r="P58" s="9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11" t="n"/>
      <c r="AE58" s="6" t="n"/>
      <c r="AF58" s="6" t="n"/>
      <c r="AG58" s="6" t="n"/>
      <c r="AH58" s="6" t="n"/>
    </row>
    <row r="59" ht="12.75" customHeight="1" s="111">
      <c r="A59" s="9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11" t="n"/>
      <c r="P59" s="9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11" t="n"/>
      <c r="AE59" s="6" t="n"/>
      <c r="AF59" s="6" t="n"/>
      <c r="AG59" s="6" t="n"/>
      <c r="AH59" s="6" t="n"/>
    </row>
    <row r="60" ht="12.75" customHeight="1" s="111">
      <c r="A60" s="9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11" t="n"/>
      <c r="P60" s="9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11" t="n"/>
      <c r="AE60" s="6" t="n"/>
      <c r="AF60" s="6" t="n"/>
      <c r="AG60" s="6" t="n"/>
      <c r="AH60" s="6" t="n"/>
    </row>
    <row r="61" ht="12.75" customHeight="1" s="111">
      <c r="A61" s="9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11" t="n"/>
      <c r="P61" s="9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11" t="n"/>
      <c r="AE61" s="6" t="n"/>
      <c r="AF61" s="6" t="n"/>
      <c r="AG61" s="6" t="n"/>
      <c r="AH61" s="6" t="n"/>
    </row>
    <row r="62" ht="12.75" customHeight="1" s="111">
      <c r="A62" s="9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11" t="n"/>
      <c r="P62" s="9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11" t="n"/>
      <c r="AE62" s="6" t="n"/>
      <c r="AF62" s="6" t="n"/>
      <c r="AG62" s="6" t="n"/>
      <c r="AH62" s="6" t="n"/>
    </row>
    <row r="63" ht="12.75" customHeight="1" s="111">
      <c r="A63" s="9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11" t="n"/>
      <c r="P63" s="9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11" t="n"/>
      <c r="AE63" s="6" t="n"/>
      <c r="AF63" s="6" t="n"/>
      <c r="AG63" s="6" t="n"/>
      <c r="AH63" s="6" t="n"/>
    </row>
    <row r="64" ht="13.5" customHeight="1" s="111">
      <c r="A64" s="89" t="n"/>
      <c r="B64" s="90" t="n"/>
      <c r="C64" s="90" t="n"/>
      <c r="D64" s="90" t="n"/>
      <c r="E64" s="90" t="n"/>
      <c r="F64" s="90" t="n"/>
      <c r="G64" s="90" t="n"/>
      <c r="H64" s="90" t="n"/>
      <c r="I64" s="90" t="n"/>
      <c r="J64" s="90" t="n"/>
      <c r="K64" s="90" t="n"/>
      <c r="L64" s="90" t="n"/>
      <c r="M64" s="90" t="n"/>
      <c r="N64" s="90" t="n"/>
      <c r="O64" s="91" t="n"/>
      <c r="P64" s="89" t="n"/>
      <c r="Q64" s="90" t="n"/>
      <c r="R64" s="90" t="n"/>
      <c r="S64" s="90" t="n"/>
      <c r="T64" s="90" t="n"/>
      <c r="U64" s="90" t="n"/>
      <c r="V64" s="90" t="n"/>
      <c r="W64" s="90" t="n"/>
      <c r="X64" s="90" t="n"/>
      <c r="Y64" s="90" t="n"/>
      <c r="Z64" s="90" t="n"/>
      <c r="AA64" s="90" t="n"/>
      <c r="AB64" s="90" t="n"/>
      <c r="AC64" s="90" t="n"/>
      <c r="AD64" s="91" t="n"/>
      <c r="AE64" s="6" t="n"/>
      <c r="AF64" s="6" t="n"/>
      <c r="AG64" s="6" t="n"/>
      <c r="AH64" s="6" t="n"/>
    </row>
    <row r="65" ht="12.75" customHeight="1" s="11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 ht="12.75" customHeight="1" s="11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</row>
    <row r="67" ht="12.75" customHeight="1" s="1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</row>
    <row r="68" ht="12.75" customHeight="1" s="1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 ht="12.75" customHeight="1" s="1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</row>
    <row r="70" ht="12.75" customHeight="1" s="1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 ht="12.75" customHeight="1" s="1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</row>
    <row r="72" ht="12.75" customHeight="1" s="1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 ht="12.75" customHeight="1" s="1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</row>
    <row r="74" ht="12.75" customHeight="1" s="1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</row>
    <row r="75" ht="12.75" customHeight="1" s="1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 ht="12.75" customHeight="1" s="1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</row>
    <row r="77" ht="12.75" customHeight="1" s="1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</row>
    <row r="78" ht="12.75" customHeight="1" s="1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 ht="12.75" customHeight="1" s="1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 hidden="1" ht="12.75" customHeight="1" s="111">
      <c r="A80" s="92" t="n"/>
      <c r="B80" s="6" t="n"/>
      <c r="C80" s="6" t="n"/>
      <c r="D80" s="92" t="inlineStr">
        <is>
          <t>TOTALI</t>
        </is>
      </c>
      <c r="M80" s="6" t="n"/>
      <c r="N80" s="6" t="n"/>
      <c r="O80" s="6" t="n"/>
      <c r="P80" s="92" t="n"/>
      <c r="Q80" s="6" t="n"/>
      <c r="R80" s="6" t="n"/>
      <c r="S80" s="92" t="inlineStr">
        <is>
          <t>TOTALI</t>
        </is>
      </c>
      <c r="AB80" s="6" t="n"/>
      <c r="AC80" s="6" t="n"/>
      <c r="AD80" s="6" t="n"/>
      <c r="AE80" s="6" t="n"/>
      <c r="AF80" s="6" t="n"/>
      <c r="AG80" s="6" t="n"/>
      <c r="AH80" s="6" t="n"/>
    </row>
    <row r="81" hidden="1" ht="12.75" customHeight="1" s="111">
      <c r="A81" s="92" t="n"/>
      <c r="B81" s="6" t="n"/>
      <c r="C81" s="6" t="n"/>
      <c r="D81" s="6" t="n">
        <v>1</v>
      </c>
      <c r="E81" s="6" t="n">
        <v>2</v>
      </c>
      <c r="F81" s="6" t="n">
        <v>3</v>
      </c>
      <c r="G81" s="6" t="n">
        <v>4</v>
      </c>
      <c r="H81" s="6" t="n">
        <v>5</v>
      </c>
      <c r="I81" s="6" t="n">
        <v>6</v>
      </c>
      <c r="J81" s="6" t="inlineStr">
        <is>
          <t>ATT2</t>
        </is>
      </c>
      <c r="K81" s="6" t="inlineStr">
        <is>
          <t>ATT3</t>
        </is>
      </c>
      <c r="L81" s="6" t="inlineStr">
        <is>
          <t>TOT</t>
        </is>
      </c>
      <c r="M81" s="6" t="n"/>
      <c r="N81" s="6" t="n"/>
      <c r="O81" s="6" t="n"/>
      <c r="P81" s="92" t="n"/>
      <c r="Q81" s="6" t="n"/>
      <c r="R81" s="6" t="n"/>
      <c r="S81" s="6" t="n">
        <v>1</v>
      </c>
      <c r="T81" s="6" t="n">
        <v>2</v>
      </c>
      <c r="U81" s="6" t="n">
        <v>3</v>
      </c>
      <c r="V81" s="6" t="n">
        <v>4</v>
      </c>
      <c r="W81" s="6" t="n">
        <v>5</v>
      </c>
      <c r="X81" s="6" t="n">
        <v>6</v>
      </c>
      <c r="Y81" s="6" t="inlineStr">
        <is>
          <t>ATT2</t>
        </is>
      </c>
      <c r="Z81" s="6" t="inlineStr">
        <is>
          <t>ATT3</t>
        </is>
      </c>
      <c r="AA81" s="6" t="inlineStr">
        <is>
          <t>TOT</t>
        </is>
      </c>
      <c r="AB81" s="6" t="n"/>
      <c r="AC81" s="6" t="n"/>
      <c r="AD81" s="6" t="n"/>
      <c r="AE81" s="6" t="n"/>
      <c r="AF81" s="6" t="n"/>
      <c r="AG81" s="6" t="n"/>
      <c r="AH81" s="6" t="n"/>
    </row>
    <row r="82" hidden="1" ht="12.75" customHeight="1" s="111">
      <c r="A82" s="92" t="n"/>
      <c r="B82" s="6" t="n"/>
      <c r="C82" s="92" t="n">
        <v>0</v>
      </c>
      <c r="D82" s="6">
        <f>Gara_1!AB82+Gara_2!AB82+Gara_3!AB82+Gara_4!AB82+Gara_5!AB82+Gara_6!AB82+Gara_7!AB82+Gara_8!AB82+Gara_9!AB82+Gara_10!AB82+Gara_11!AB82+Gara_12!AB82+Gara_13!AB82+Gara_14!AB82+Gara_15!AB82</f>
        <v/>
      </c>
      <c r="E82" s="6">
        <f>Gara_1!AC82+Gara_2!AC82+Gara_3!AC82+Gara_4!AC82+Gara_5!AC82+Gara_6!AC82+Gara_7!AC82+Gara_8!AC82+Gara_9!AC82+Gara_10!AC82+Gara_11!AC82+Gara_12!AC82+Gara_13!AC82+Gara_14!AC82+Gara_15!AC82</f>
        <v/>
      </c>
      <c r="F82" s="6">
        <f>Gara_1!AD82+Gara_2!AD82+Gara_3!AD82+Gara_4!AD82+Gara_5!AD82+Gara_6!AD82+Gara_7!AD82+Gara_8!AD82+Gara_9!AD82+Gara_10!AD82+Gara_11!AD82+Gara_12!AD82+Gara_13!AD82+Gara_14!AD82+Gara_15!AD82</f>
        <v/>
      </c>
      <c r="G82" s="6">
        <f>Gara_1!AE82+Gara_2!AE82+Gara_3!AE82+Gara_4!AE82+Gara_5!AE82+Gara_6!AE82+Gara_7!AE82+Gara_8!AE82+Gara_9!AE82+Gara_10!AE82+Gara_11!AE82+Gara_12!AE82+Gara_13!AE82+Gara_14!AE82+Gara_15!AE82</f>
        <v/>
      </c>
      <c r="H82" s="6">
        <f>Gara_1!AF82+Gara_2!AF82+Gara_3!AF82+Gara_4!AF82+Gara_5!AF82+Gara_6!AF82+Gara_7!AF82+Gara_8!AF82+Gara_9!AF82+Gara_10!AF82+Gara_11!AF82+Gara_12!AF82+Gara_13!AF82+Gara_14!AF82+Gara_15!AF82</f>
        <v/>
      </c>
      <c r="I82" s="6">
        <f>Gara_1!AG82+Gara_2!AG82+Gara_3!AG82+Gara_4!AG82+Gara_5!AG82+Gara_6!AG82+Gara_7!AG82+Gara_8!AG82+Gara_9!AG82+Gara_10!AG82+Gara_11!AG82+Gara_12!AG82+Gara_13!AG82+Gara_14!AG82+Gara_15!AG82</f>
        <v/>
      </c>
      <c r="J82" s="6">
        <f>E82+F82+G82</f>
        <v/>
      </c>
      <c r="K82" s="6">
        <f>D82+H82+I82</f>
        <v/>
      </c>
      <c r="L82" s="6">
        <f>J82+K82</f>
        <v/>
      </c>
      <c r="M82" s="6" t="n"/>
      <c r="N82" s="6" t="n"/>
      <c r="O82" s="6" t="n"/>
      <c r="P82" s="92" t="n"/>
      <c r="Q82" s="6" t="n"/>
      <c r="R82" s="92" t="n">
        <v>0</v>
      </c>
      <c r="S82" s="6">
        <f>Gara_1!AQ82+Gara_2!AQ82+Gara_3!AQ82+Gara_4!AQ82+Gara_5!AQ82+Gara_6!AQ82+Gara_7!AQ82+Gara_8!AQ82+Gara_9!AQ82+Gara_10!AQ82+Gara_11!AQ82+Gara_12!AQ82+Gara_13!AQ82+Gara_14!AQ82+Gara_15!AQ82</f>
        <v/>
      </c>
      <c r="T82" s="6">
        <f>Gara_1!AR82+Gara_2!AR82+Gara_3!AR82+Gara_4!AR82+Gara_5!AR82+Gara_6!AR82+Gara_7!AR82+Gara_8!AR82+Gara_9!AR82+Gara_10!AR82+Gara_11!AR82+Gara_12!AR82+Gara_13!AR82+Gara_14!AR82+Gara_15!AR82</f>
        <v/>
      </c>
      <c r="U82" s="6">
        <f>Gara_1!AS82+Gara_2!AS82+Gara_3!AS82+Gara_4!AS82+Gara_5!AS82+Gara_6!AS82+Gara_7!AS82+Gara_8!AS82+Gara_9!AS82+Gara_10!AS82+Gara_11!AS82+Gara_12!AS82+Gara_13!AS82+Gara_14!AS82+Gara_15!AS82</f>
        <v/>
      </c>
      <c r="V82" s="6">
        <f>Gara_1!AT82+Gara_2!AT82+Gara_3!AT82+Gara_4!AT82+Gara_5!AT82+Gara_6!AT82+Gara_7!AT82+Gara_8!AT82+Gara_9!AT82+Gara_10!AT82+Gara_11!AT82+Gara_12!AT82+Gara_13!AT82+Gara_14!AT82+Gara_15!AT82</f>
        <v/>
      </c>
      <c r="W82" s="6">
        <f>Gara_1!AU82+Gara_2!AU82+Gara_3!AU82+Gara_4!AU82+Gara_5!AU82+Gara_6!AU82+Gara_7!AU82+Gara_8!AU82+Gara_9!AU82+Gara_10!AU82+Gara_11!AU82+Gara_12!AU82+Gara_13!AU82+Gara_14!AU82+Gara_15!AU82</f>
        <v/>
      </c>
      <c r="X82" s="6">
        <f>Gara_1!AV82+Gara_2!AV82+Gara_3!AV82+Gara_4!AV82+Gara_5!AV82+Gara_6!AV82+Gara_7!AV82+Gara_8!AV82+Gara_9!AV82+Gara_10!AV82+Gara_11!AV82+Gara_12!AV82+Gara_13!AV82+Gara_14!AV82+Gara_15!AV82</f>
        <v/>
      </c>
      <c r="Y82" s="6">
        <f>T82+U82+V82</f>
        <v/>
      </c>
      <c r="Z82" s="6">
        <f>S82+W82+X82</f>
        <v/>
      </c>
      <c r="AA82" s="6">
        <f>Y82+Z82</f>
        <v/>
      </c>
      <c r="AB82" s="6" t="n"/>
      <c r="AC82" s="6" t="n"/>
      <c r="AD82" s="6" t="n"/>
      <c r="AE82" s="6" t="n"/>
      <c r="AF82" s="6" t="n"/>
      <c r="AG82" s="6" t="n"/>
      <c r="AH82" s="6" t="n"/>
    </row>
    <row r="83" hidden="1" ht="12.75" customHeight="1" s="111">
      <c r="A83" s="92" t="n"/>
      <c r="B83" s="6" t="n"/>
      <c r="C83" s="92" t="inlineStr">
        <is>
          <t>&gt;0</t>
        </is>
      </c>
      <c r="D83" s="6">
        <f>Gara_1!AB83+Gara_2!AB83+Gara_3!AB83+Gara_4!AB83+Gara_5!AB83+Gara_6!AB83+Gara_7!AB83+Gara_8!AB83+Gara_9!AB83+Gara_10!AB83+Gara_11!AB83+Gara_12!AB83+Gara_13!AB83+Gara_14!AB83+Gara_15!AB83</f>
        <v/>
      </c>
      <c r="E83" s="6">
        <f>Gara_1!AC83+Gara_2!AC83+Gara_3!AC83+Gara_4!AC83+Gara_5!AC83+Gara_6!AC83+Gara_7!AC83+Gara_8!AC83+Gara_9!AC83+Gara_10!AC83+Gara_11!AC83+Gara_12!AC83+Gara_13!AC83+Gara_14!AC83+Gara_15!AC83</f>
        <v/>
      </c>
      <c r="F83" s="6">
        <f>Gara_1!AD83+Gara_2!AD83+Gara_3!AD83+Gara_4!AD83+Gara_5!AD83+Gara_6!AD83+Gara_7!AD83+Gara_8!AD83+Gara_9!AD83+Gara_10!AD83+Gara_11!AD83+Gara_12!AD83+Gara_13!AD83+Gara_14!AD83+Gara_15!AD83</f>
        <v/>
      </c>
      <c r="G83" s="6">
        <f>Gara_1!AE83+Gara_2!AE83+Gara_3!AE83+Gara_4!AE83+Gara_5!AE83+Gara_6!AE83+Gara_7!AE83+Gara_8!AE83+Gara_9!AE83+Gara_10!AE83+Gara_11!AE83+Gara_12!AE83+Gara_13!AE83+Gara_14!AE83+Gara_15!AE83</f>
        <v/>
      </c>
      <c r="H83" s="6">
        <f>Gara_1!AF83+Gara_2!AF83+Gara_3!AF83+Gara_4!AF83+Gara_5!AF83+Gara_6!AF83+Gara_7!AF83+Gara_8!AF83+Gara_9!AF83+Gara_10!AF83+Gara_11!AF83+Gara_12!AF83+Gara_13!AF83+Gara_14!AF83+Gara_15!AF83</f>
        <v/>
      </c>
      <c r="I83" s="6">
        <f>Gara_1!AG83+Gara_2!AG83+Gara_3!AG83+Gara_4!AG83+Gara_5!AG83+Gara_6!AG83+Gara_7!AG83+Gara_8!AG83+Gara_9!AG83+Gara_10!AG83+Gara_11!AG83+Gara_12!AG83+Gara_13!AG83+Gara_14!AG83+Gara_15!AG83</f>
        <v/>
      </c>
      <c r="J83" s="6">
        <f>E83+F83+G83</f>
        <v/>
      </c>
      <c r="K83" s="6">
        <f>F83+G83+H83</f>
        <v/>
      </c>
      <c r="L83" s="6">
        <f>J83+K83</f>
        <v/>
      </c>
      <c r="M83" s="6" t="n"/>
      <c r="N83" s="6" t="n"/>
      <c r="O83" s="6" t="n"/>
      <c r="P83" s="92" t="n"/>
      <c r="Q83" s="6" t="n"/>
      <c r="R83" s="92" t="inlineStr">
        <is>
          <t>&gt;0</t>
        </is>
      </c>
      <c r="S83" s="6">
        <f>Gara_1!AQ83+Gara_2!AQ83+Gara_3!AQ83+Gara_4!AQ83+Gara_5!AQ83+Gara_6!AQ83+Gara_7!AQ83+Gara_8!AQ83+Gara_9!AQ83+Gara_10!AQ83+Gara_11!AQ83+Gara_12!AQ83+Gara_13!AQ83+Gara_14!AQ83+Gara_15!AQ83</f>
        <v/>
      </c>
      <c r="T83" s="6">
        <f>Gara_1!AR83+Gara_2!AR83+Gara_3!AR83+Gara_4!AR83+Gara_5!AR83+Gara_6!AR83+Gara_7!AR83+Gara_8!AR83+Gara_9!AR83+Gara_10!AR83+Gara_11!AR83+Gara_12!AR83+Gara_13!AR83+Gara_14!AR83+Gara_15!AR83</f>
        <v/>
      </c>
      <c r="U83" s="6">
        <f>Gara_1!AS83+Gara_2!AS83+Gara_3!AS83+Gara_4!AS83+Gara_5!AS83+Gara_6!AS83+Gara_7!AS83+Gara_8!AS83+Gara_9!AS83+Gara_10!AS83+Gara_11!AS83+Gara_12!AS83+Gara_13!AS83+Gara_14!AS83+Gara_15!AS83</f>
        <v/>
      </c>
      <c r="V83" s="6">
        <f>Gara_1!AT83+Gara_2!AT83+Gara_3!AT83+Gara_4!AT83+Gara_5!AT83+Gara_6!AT83+Gara_7!AT83+Gara_8!AT83+Gara_9!AT83+Gara_10!AT83+Gara_11!AT83+Gara_12!AT83+Gara_13!AT83+Gara_14!AT83+Gara_15!AT83</f>
        <v/>
      </c>
      <c r="W83" s="6">
        <f>Gara_1!AU83+Gara_2!AU83+Gara_3!AU83+Gara_4!AU83+Gara_5!AU83+Gara_6!AU83+Gara_7!AU83+Gara_8!AU83+Gara_9!AU83+Gara_10!AU83+Gara_11!AU83+Gara_12!AU83+Gara_13!AU83+Gara_14!AU83+Gara_15!AU83</f>
        <v/>
      </c>
      <c r="X83" s="6">
        <f>Gara_1!AV83+Gara_2!AV83+Gara_3!AV83+Gara_4!AV83+Gara_5!AV83+Gara_6!AV83+Gara_7!AV83+Gara_8!AV83+Gara_9!AV83+Gara_10!AV83+Gara_11!AV83+Gara_12!AV83+Gara_13!AV83+Gara_14!AV83+Gara_15!AV83</f>
        <v/>
      </c>
      <c r="Y83" s="6">
        <f>T83+U83+V83</f>
        <v/>
      </c>
      <c r="Z83" s="6">
        <f>U83+V83+W83</f>
        <v/>
      </c>
      <c r="AA83" s="6">
        <f>Y83+Z83</f>
        <v/>
      </c>
      <c r="AB83" s="6" t="n"/>
      <c r="AC83" s="6" t="n"/>
      <c r="AD83" s="6" t="n"/>
      <c r="AE83" s="6" t="n"/>
      <c r="AF83" s="6" t="n"/>
      <c r="AG83" s="6" t="n"/>
      <c r="AH83" s="6" t="n"/>
    </row>
    <row r="84" hidden="1" ht="12.75" customHeight="1" s="111">
      <c r="A84" s="92" t="n"/>
      <c r="B84" s="6" t="n"/>
      <c r="C84" s="92" t="inlineStr">
        <is>
          <t>&gt;1</t>
        </is>
      </c>
      <c r="D84" s="6">
        <f>Gara_1!AB84+Gara_2!AB84+Gara_3!AB84+Gara_4!AB84+Gara_5!AB84+Gara_6!AB84+Gara_7!AB84+Gara_8!AB84+Gara_9!AB84+Gara_10!AB84+Gara_11!AB84+Gara_12!AB84+Gara_13!AB84+Gara_14!AB84+Gara_15!AB84</f>
        <v/>
      </c>
      <c r="E84" s="6">
        <f>Gara_1!AC84+Gara_2!AC84+Gara_3!AC84+Gara_4!AC84+Gara_5!AC84+Gara_6!AC84+Gara_7!AC84+Gara_8!AC84+Gara_9!AC84+Gara_10!AC84+Gara_11!AC84+Gara_12!AC84+Gara_13!AC84+Gara_14!AC84+Gara_15!AC84</f>
        <v/>
      </c>
      <c r="F84" s="6">
        <f>Gara_1!AD84+Gara_2!AD84+Gara_3!AD84+Gara_4!AD84+Gara_5!AD84+Gara_6!AD84+Gara_7!AD84+Gara_8!AD84+Gara_9!AD84+Gara_10!AD84+Gara_11!AD84+Gara_12!AD84+Gara_13!AD84+Gara_14!AD84+Gara_15!AD84</f>
        <v/>
      </c>
      <c r="G84" s="6">
        <f>Gara_1!AE84+Gara_2!AE84+Gara_3!AE84+Gara_4!AE84+Gara_5!AE84+Gara_6!AE84+Gara_7!AE84+Gara_8!AE84+Gara_9!AE84+Gara_10!AE84+Gara_11!AE84+Gara_12!AE84+Gara_13!AE84+Gara_14!AE84+Gara_15!AE84</f>
        <v/>
      </c>
      <c r="H84" s="6">
        <f>Gara_1!AF84+Gara_2!AF84+Gara_3!AF84+Gara_4!AF84+Gara_5!AF84+Gara_6!AF84+Gara_7!AF84+Gara_8!AF84+Gara_9!AF84+Gara_10!AF84+Gara_11!AF84+Gara_12!AF84+Gara_13!AF84+Gara_14!AF84+Gara_15!AF84</f>
        <v/>
      </c>
      <c r="I84" s="6">
        <f>Gara_1!AG84+Gara_2!AG84+Gara_3!AG84+Gara_4!AG84+Gara_5!AG84+Gara_6!AG84+Gara_7!AG84+Gara_8!AG84+Gara_9!AG84+Gara_10!AG84+Gara_11!AG84+Gara_12!AG84+Gara_13!AG84+Gara_14!AG84+Gara_15!AG84</f>
        <v/>
      </c>
      <c r="J84" s="6">
        <f>E84+F84+G84</f>
        <v/>
      </c>
      <c r="K84" s="6">
        <f>F84+G84+H84</f>
        <v/>
      </c>
      <c r="L84" s="6">
        <f>J84+K84</f>
        <v/>
      </c>
      <c r="M84" s="6" t="n"/>
      <c r="N84" s="6" t="n"/>
      <c r="O84" s="6" t="n"/>
      <c r="P84" s="92" t="n"/>
      <c r="Q84" s="6" t="n"/>
      <c r="R84" s="92" t="inlineStr">
        <is>
          <t>&gt;1</t>
        </is>
      </c>
      <c r="S84" s="6">
        <f>Gara_1!AQ84+Gara_2!AQ84+Gara_3!AQ84+Gara_4!AQ84+Gara_5!AQ84+Gara_6!AQ84+Gara_7!AQ84+Gara_8!AQ84+Gara_9!AQ84+Gara_10!AQ84+Gara_11!AQ84+Gara_12!AQ84+Gara_13!AQ84+Gara_14!AQ84+Gara_15!AQ84</f>
        <v/>
      </c>
      <c r="T84" s="6">
        <f>Gara_1!AR84+Gara_2!AR84+Gara_3!AR84+Gara_4!AR84+Gara_5!AR84+Gara_6!AR84+Gara_7!AR84+Gara_8!AR84+Gara_9!AR84+Gara_10!AR84+Gara_11!AR84+Gara_12!AR84+Gara_13!AR84+Gara_14!AR84+Gara_15!AR84</f>
        <v/>
      </c>
      <c r="U84" s="6">
        <f>Gara_1!AS84+Gara_2!AS84+Gara_3!AS84+Gara_4!AS84+Gara_5!AS84+Gara_6!AS84+Gara_7!AS84+Gara_8!AS84+Gara_9!AS84+Gara_10!AS84+Gara_11!AS84+Gara_12!AS84+Gara_13!AS84+Gara_14!AS84+Gara_15!AS84</f>
        <v/>
      </c>
      <c r="V84" s="6">
        <f>Gara_1!AT84+Gara_2!AT84+Gara_3!AT84+Gara_4!AT84+Gara_5!AT84+Gara_6!AT84+Gara_7!AT84+Gara_8!AT84+Gara_9!AT84+Gara_10!AT84+Gara_11!AT84+Gara_12!AT84+Gara_13!AT84+Gara_14!AT84+Gara_15!AT84</f>
        <v/>
      </c>
      <c r="W84" s="6">
        <f>Gara_1!AU84+Gara_2!AU84+Gara_3!AU84+Gara_4!AU84+Gara_5!AU84+Gara_6!AU84+Gara_7!AU84+Gara_8!AU84+Gara_9!AU84+Gara_10!AU84+Gara_11!AU84+Gara_12!AU84+Gara_13!AU84+Gara_14!AU84+Gara_15!AU84</f>
        <v/>
      </c>
      <c r="X84" s="6">
        <f>Gara_1!AV84+Gara_2!AV84+Gara_3!AV84+Gara_4!AV84+Gara_5!AV84+Gara_6!AV84+Gara_7!AV84+Gara_8!AV84+Gara_9!AV84+Gara_10!AV84+Gara_11!AV84+Gara_12!AV84+Gara_13!AV84+Gara_14!AV84+Gara_15!AV84</f>
        <v/>
      </c>
      <c r="Y84" s="6">
        <f>T84+U84+V84</f>
        <v/>
      </c>
      <c r="Z84" s="6">
        <f>U84+V84+W84</f>
        <v/>
      </c>
      <c r="AA84" s="6">
        <f>Y84+Z84</f>
        <v/>
      </c>
      <c r="AB84" s="6" t="n"/>
      <c r="AC84" s="6" t="n"/>
      <c r="AD84" s="6" t="n"/>
      <c r="AE84" s="6" t="n"/>
      <c r="AF84" s="6" t="n"/>
      <c r="AG84" s="6" t="n"/>
      <c r="AH84" s="6" t="n"/>
    </row>
    <row r="85" hidden="1" ht="12.75" customHeight="1" s="111">
      <c r="A85" s="92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92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</row>
    <row r="86" hidden="1" ht="12.75" customHeight="1" s="111">
      <c r="A86" s="92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92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</row>
    <row r="87" hidden="1" ht="12.75" customHeight="1" s="111">
      <c r="A87" s="92" t="n"/>
      <c r="B87" s="6" t="n"/>
      <c r="C87" s="6" t="n"/>
      <c r="D87" s="92" t="n">
        <v>1</v>
      </c>
      <c r="E87" s="92" t="n">
        <v>2</v>
      </c>
      <c r="F87" s="92" t="n">
        <v>3</v>
      </c>
      <c r="G87" s="92" t="n">
        <v>4</v>
      </c>
      <c r="H87" s="92" t="n">
        <v>5</v>
      </c>
      <c r="I87" s="92" t="n">
        <v>6</v>
      </c>
      <c r="J87" s="6" t="n"/>
      <c r="K87" s="6" t="n"/>
      <c r="L87" s="6" t="n"/>
      <c r="M87" s="6" t="n"/>
      <c r="N87" s="6" t="n"/>
      <c r="O87" s="6" t="n"/>
      <c r="P87" s="92" t="n"/>
      <c r="Q87" s="6" t="n"/>
      <c r="R87" s="6" t="n"/>
      <c r="S87" s="92" t="n">
        <v>1</v>
      </c>
      <c r="T87" s="92" t="n">
        <v>2</v>
      </c>
      <c r="U87" s="92" t="n">
        <v>3</v>
      </c>
      <c r="V87" s="92" t="n">
        <v>4</v>
      </c>
      <c r="W87" s="92" t="n">
        <v>5</v>
      </c>
      <c r="X87" s="92" t="n">
        <v>6</v>
      </c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</row>
    <row r="88" hidden="1" ht="12.75" customHeight="1" s="111">
      <c r="A88" s="92" t="n"/>
      <c r="B88" s="6" t="n"/>
      <c r="C88" s="92" t="n">
        <v>1</v>
      </c>
      <c r="D88" s="6">
        <f>Gara_1!BA$9</f>
        <v/>
      </c>
      <c r="E88" s="6">
        <f>Gara_1!BB$9</f>
        <v/>
      </c>
      <c r="F88" s="6">
        <f>Gara_1!BC$9</f>
        <v/>
      </c>
      <c r="G88" s="6">
        <f>Gara_1!BD$9</f>
        <v/>
      </c>
      <c r="H88" s="6">
        <f>Gara_1!BE$9</f>
        <v/>
      </c>
      <c r="I88" s="6">
        <f>Gara_1!BF$9</f>
        <v/>
      </c>
      <c r="J88" s="6" t="n"/>
      <c r="K88" s="6" t="n"/>
      <c r="L88" s="6" t="n"/>
      <c r="M88" s="6" t="n"/>
      <c r="N88" s="6" t="n"/>
      <c r="O88" s="6" t="n"/>
      <c r="P88" s="92" t="n"/>
      <c r="Q88" s="6" t="n"/>
      <c r="R88" s="92" t="n">
        <v>1</v>
      </c>
      <c r="S88" s="6">
        <f>Gara_1!BJ$9</f>
        <v/>
      </c>
      <c r="T88" s="6">
        <f>Gara_1!BK$9</f>
        <v/>
      </c>
      <c r="U88" s="6">
        <f>Gara_1!BL$9</f>
        <v/>
      </c>
      <c r="V88" s="6">
        <f>Gara_1!BM$9</f>
        <v/>
      </c>
      <c r="W88" s="6">
        <f>Gara_1!BN$9</f>
        <v/>
      </c>
      <c r="X88" s="6">
        <f>Gara_1!BO$9</f>
        <v/>
      </c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</row>
    <row r="89" hidden="1" ht="12.75" customHeight="1" s="111">
      <c r="A89" s="92" t="n"/>
      <c r="B89" s="110" t="n"/>
      <c r="C89" s="92" t="n">
        <v>2</v>
      </c>
      <c r="D89" s="6">
        <f>Gara_2!BA$9</f>
        <v/>
      </c>
      <c r="E89" s="6">
        <f>Gara_2!BB$9</f>
        <v/>
      </c>
      <c r="F89" s="6">
        <f>Gara_2!BC$9</f>
        <v/>
      </c>
      <c r="G89" s="6">
        <f>Gara_2!BD$9</f>
        <v/>
      </c>
      <c r="H89" s="6">
        <f>Gara_2!BE$9</f>
        <v/>
      </c>
      <c r="I89" s="6">
        <f>Gara_2!BF$9</f>
        <v/>
      </c>
      <c r="J89" s="6" t="n"/>
      <c r="K89" s="6" t="n"/>
      <c r="L89" s="6" t="n"/>
      <c r="M89" s="6" t="n"/>
      <c r="N89" s="6" t="n"/>
      <c r="O89" s="6" t="n"/>
      <c r="P89" s="92" t="n"/>
      <c r="Q89" s="110" t="n"/>
      <c r="R89" s="92" t="n">
        <v>2</v>
      </c>
      <c r="S89" s="6">
        <f>Gara_2!BJ$9</f>
        <v/>
      </c>
      <c r="T89" s="6">
        <f>Gara_2!BK$9</f>
        <v/>
      </c>
      <c r="U89" s="6">
        <f>Gara_2!BL$9</f>
        <v/>
      </c>
      <c r="V89" s="6">
        <f>Gara_2!BM$9</f>
        <v/>
      </c>
      <c r="W89" s="6">
        <f>Gara_2!BN$9</f>
        <v/>
      </c>
      <c r="X89" s="6">
        <f>Gara_2!BO$9</f>
        <v/>
      </c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</row>
    <row r="90" hidden="1" ht="12.75" customHeight="1" s="111">
      <c r="A90" s="92" t="n"/>
      <c r="B90" s="6" t="n"/>
      <c r="C90" s="92" t="n">
        <v>3</v>
      </c>
      <c r="D90" s="6">
        <f>Gara_3!BA$9</f>
        <v/>
      </c>
      <c r="E90" s="6">
        <f>Gara_3!BB$9</f>
        <v/>
      </c>
      <c r="F90" s="6">
        <f>Gara_3!BC$9</f>
        <v/>
      </c>
      <c r="G90" s="6">
        <f>Gara_3!BD$9</f>
        <v/>
      </c>
      <c r="H90" s="6">
        <f>Gara_3!BE$9</f>
        <v/>
      </c>
      <c r="I90" s="6">
        <f>Gara_3!BF$9</f>
        <v/>
      </c>
      <c r="J90" s="6" t="n"/>
      <c r="K90" s="6" t="n"/>
      <c r="L90" s="6" t="n"/>
      <c r="M90" s="6" t="n"/>
      <c r="N90" s="6" t="n"/>
      <c r="O90" s="6" t="n"/>
      <c r="P90" s="92" t="n"/>
      <c r="Q90" s="6" t="n"/>
      <c r="R90" s="92" t="n">
        <v>3</v>
      </c>
      <c r="S90" s="6">
        <f>Gara_3!BJ$9</f>
        <v/>
      </c>
      <c r="T90" s="6">
        <f>Gara_3!BK$9</f>
        <v/>
      </c>
      <c r="U90" s="6">
        <f>Gara_3!BL$9</f>
        <v/>
      </c>
      <c r="V90" s="6">
        <f>Gara_3!BM$9</f>
        <v/>
      </c>
      <c r="W90" s="6">
        <f>Gara_3!BN$9</f>
        <v/>
      </c>
      <c r="X90" s="6">
        <f>Gara_3!BO$9</f>
        <v/>
      </c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</row>
    <row r="91" hidden="1" ht="12.75" customHeight="1" s="111">
      <c r="A91" s="6" t="n"/>
      <c r="B91" s="6" t="n"/>
      <c r="C91" s="92" t="n">
        <v>4</v>
      </c>
      <c r="D91" s="6">
        <f>Gara_4!BA$9</f>
        <v/>
      </c>
      <c r="E91" s="6">
        <f>Gara_4!BB$9</f>
        <v/>
      </c>
      <c r="F91" s="6">
        <f>Gara_4!BC$9</f>
        <v/>
      </c>
      <c r="G91" s="6">
        <f>Gara_4!BD$9</f>
        <v/>
      </c>
      <c r="H91" s="6">
        <f>Gara_4!BE$9</f>
        <v/>
      </c>
      <c r="I91" s="6">
        <f>Gara_4!BF$9</f>
        <v/>
      </c>
      <c r="J91" s="6" t="n"/>
      <c r="K91" s="6" t="n"/>
      <c r="L91" s="6" t="n"/>
      <c r="M91" s="6" t="n"/>
      <c r="N91" s="6" t="n"/>
      <c r="O91" s="6" t="n"/>
      <c r="P91" s="6" t="n"/>
      <c r="Q91" s="6" t="n"/>
      <c r="R91" s="92" t="n">
        <v>4</v>
      </c>
      <c r="S91" s="6">
        <f>Gara_4!BJ$9</f>
        <v/>
      </c>
      <c r="T91" s="6">
        <f>Gara_4!BK$9</f>
        <v/>
      </c>
      <c r="U91" s="6">
        <f>Gara_4!BL$9</f>
        <v/>
      </c>
      <c r="V91" s="6">
        <f>Gara_4!BM$9</f>
        <v/>
      </c>
      <c r="W91" s="6">
        <f>Gara_4!BN$9</f>
        <v/>
      </c>
      <c r="X91" s="6">
        <f>Gara_4!BO$9</f>
        <v/>
      </c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</row>
    <row r="92" hidden="1" ht="12.75" customHeight="1" s="111">
      <c r="A92" s="6" t="n"/>
      <c r="B92" s="6" t="n"/>
      <c r="C92" s="92" t="n">
        <v>5</v>
      </c>
      <c r="D92" s="6">
        <f>Gara_5!BA$9</f>
        <v/>
      </c>
      <c r="E92" s="6">
        <f>Gara_5!BB$9</f>
        <v/>
      </c>
      <c r="F92" s="6">
        <f>Gara_5!BC$9</f>
        <v/>
      </c>
      <c r="G92" s="6">
        <f>Gara_5!BD$9</f>
        <v/>
      </c>
      <c r="H92" s="6">
        <f>Gara_5!BE$9</f>
        <v/>
      </c>
      <c r="I92" s="6">
        <f>Gara_5!BF$9</f>
        <v/>
      </c>
      <c r="J92" s="6" t="n"/>
      <c r="K92" s="6" t="n"/>
      <c r="L92" s="6" t="n"/>
      <c r="M92" s="6" t="n"/>
      <c r="N92" s="6" t="n"/>
      <c r="O92" s="6" t="n"/>
      <c r="P92" s="6" t="n"/>
      <c r="Q92" s="6" t="n"/>
      <c r="R92" s="92" t="n">
        <v>5</v>
      </c>
      <c r="S92" s="6">
        <f>Gara_5!BJ$9</f>
        <v/>
      </c>
      <c r="T92" s="6">
        <f>Gara_5!BK$9</f>
        <v/>
      </c>
      <c r="U92" s="6">
        <f>Gara_5!BL$9</f>
        <v/>
      </c>
      <c r="V92" s="6">
        <f>Gara_5!BM$9</f>
        <v/>
      </c>
      <c r="W92" s="6">
        <f>Gara_5!BN$9</f>
        <v/>
      </c>
      <c r="X92" s="6">
        <f>Gara_5!BO$9</f>
        <v/>
      </c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</row>
    <row r="93" hidden="1" ht="12.75" customHeight="1" s="111">
      <c r="A93" s="6" t="n"/>
      <c r="B93" s="92" t="n"/>
      <c r="C93" s="92" t="n">
        <v>6</v>
      </c>
      <c r="D93" s="6">
        <f>Gara_6!BA$9</f>
        <v/>
      </c>
      <c r="E93" s="6">
        <f>Gara_6!BB$9</f>
        <v/>
      </c>
      <c r="F93" s="6">
        <f>Gara_6!BC$9</f>
        <v/>
      </c>
      <c r="G93" s="6">
        <f>Gara_6!BD$9</f>
        <v/>
      </c>
      <c r="H93" s="6">
        <f>Gara_6!BE$9</f>
        <v/>
      </c>
      <c r="I93" s="6">
        <f>Gara_6!BF$9</f>
        <v/>
      </c>
      <c r="J93" s="6" t="n"/>
      <c r="K93" s="6" t="n"/>
      <c r="L93" s="6" t="n"/>
      <c r="M93" s="6" t="n"/>
      <c r="N93" s="6" t="n"/>
      <c r="O93" s="6" t="n"/>
      <c r="P93" s="6" t="n"/>
      <c r="Q93" s="92" t="n"/>
      <c r="R93" s="92" t="n">
        <v>6</v>
      </c>
      <c r="S93" s="6">
        <f>Gara_6!BJ$9</f>
        <v/>
      </c>
      <c r="T93" s="6">
        <f>Gara_6!BK$9</f>
        <v/>
      </c>
      <c r="U93" s="6">
        <f>Gara_6!BL$9</f>
        <v/>
      </c>
      <c r="V93" s="6">
        <f>Gara_6!BM$9</f>
        <v/>
      </c>
      <c r="W93" s="6">
        <f>Gara_6!BN$9</f>
        <v/>
      </c>
      <c r="X93" s="6">
        <f>Gara_6!BO$9</f>
        <v/>
      </c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</row>
    <row r="94" hidden="1" ht="12.75" customHeight="1" s="111">
      <c r="A94" s="6" t="n"/>
      <c r="B94" s="6" t="n"/>
      <c r="C94" s="92" t="n">
        <v>7</v>
      </c>
      <c r="D94" s="6">
        <f>Gara_7!BA$9</f>
        <v/>
      </c>
      <c r="E94" s="6">
        <f>Gara_7!BB$9</f>
        <v/>
      </c>
      <c r="F94" s="6">
        <f>Gara_7!BC$9</f>
        <v/>
      </c>
      <c r="G94" s="6">
        <f>Gara_7!BD$9</f>
        <v/>
      </c>
      <c r="H94" s="6">
        <f>Gara_7!BE$9</f>
        <v/>
      </c>
      <c r="I94" s="6">
        <f>Gara_7!BF$9</f>
        <v/>
      </c>
      <c r="J94" s="6" t="n"/>
      <c r="K94" s="6" t="n"/>
      <c r="L94" s="6" t="n"/>
      <c r="M94" s="6" t="n"/>
      <c r="N94" s="6" t="n"/>
      <c r="O94" s="6" t="n"/>
      <c r="P94" s="6" t="n"/>
      <c r="Q94" s="6" t="n"/>
      <c r="R94" s="92" t="n">
        <v>7</v>
      </c>
      <c r="S94" s="6">
        <f>Gara_7!BJ$9</f>
        <v/>
      </c>
      <c r="T94" s="6">
        <f>Gara_7!BK$9</f>
        <v/>
      </c>
      <c r="U94" s="6">
        <f>Gara_7!BL$9</f>
        <v/>
      </c>
      <c r="V94" s="6">
        <f>Gara_7!BM$9</f>
        <v/>
      </c>
      <c r="W94" s="6">
        <f>Gara_7!BN$9</f>
        <v/>
      </c>
      <c r="X94" s="6">
        <f>Gara_7!BO$9</f>
        <v/>
      </c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</row>
    <row r="95" hidden="1" ht="12.75" customHeight="1" s="111">
      <c r="A95" s="6" t="n"/>
      <c r="B95" s="6" t="n"/>
      <c r="C95" s="92" t="n">
        <v>8</v>
      </c>
      <c r="D95" s="6">
        <f>Gara_8!BA$9</f>
        <v/>
      </c>
      <c r="E95" s="6">
        <f>Gara_8!BB$9</f>
        <v/>
      </c>
      <c r="F95" s="6">
        <f>Gara_8!BC$9</f>
        <v/>
      </c>
      <c r="G95" s="6">
        <f>Gara_8!BD$9</f>
        <v/>
      </c>
      <c r="H95" s="6">
        <f>Gara_8!BE$9</f>
        <v/>
      </c>
      <c r="I95" s="6">
        <f>Gara_8!BF$9</f>
        <v/>
      </c>
      <c r="J95" s="6" t="n"/>
      <c r="K95" s="6" t="n"/>
      <c r="L95" s="6" t="n"/>
      <c r="M95" s="6" t="n"/>
      <c r="N95" s="6" t="n"/>
      <c r="O95" s="6" t="n"/>
      <c r="P95" s="6" t="n"/>
      <c r="Q95" s="6" t="n"/>
      <c r="R95" s="92" t="n">
        <v>8</v>
      </c>
      <c r="S95" s="6">
        <f>Gara_8!BJ$9</f>
        <v/>
      </c>
      <c r="T95" s="6">
        <f>Gara_8!BK$9</f>
        <v/>
      </c>
      <c r="U95" s="6">
        <f>Gara_8!BL$9</f>
        <v/>
      </c>
      <c r="V95" s="6">
        <f>Gara_8!BM$9</f>
        <v/>
      </c>
      <c r="W95" s="6">
        <f>Gara_8!BN$9</f>
        <v/>
      </c>
      <c r="X95" s="6">
        <f>Gara_8!BO$9</f>
        <v/>
      </c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</row>
    <row r="96" hidden="1" ht="12.75" customHeight="1" s="111">
      <c r="A96" s="6" t="n"/>
      <c r="B96" s="6" t="n"/>
      <c r="C96" s="92" t="n">
        <v>9</v>
      </c>
      <c r="D96" s="6">
        <f>Gara_9!BA$9</f>
        <v/>
      </c>
      <c r="E96" s="6">
        <f>Gara_9!BB$9</f>
        <v/>
      </c>
      <c r="F96" s="6">
        <f>Gara_9!BC$9</f>
        <v/>
      </c>
      <c r="G96" s="6">
        <f>Gara_9!BD$9</f>
        <v/>
      </c>
      <c r="H96" s="6">
        <f>Gara_9!BE$9</f>
        <v/>
      </c>
      <c r="I96" s="6">
        <f>Gara_9!BF$9</f>
        <v/>
      </c>
      <c r="J96" s="6" t="n"/>
      <c r="K96" s="6" t="n"/>
      <c r="L96" s="6" t="n"/>
      <c r="M96" s="6" t="n"/>
      <c r="N96" s="6" t="n"/>
      <c r="O96" s="6" t="n"/>
      <c r="P96" s="6" t="n"/>
      <c r="Q96" s="6" t="n"/>
      <c r="R96" s="92" t="n">
        <v>9</v>
      </c>
      <c r="S96" s="6">
        <f>Gara_9!BJ$9</f>
        <v/>
      </c>
      <c r="T96" s="6">
        <f>Gara_9!BK$9</f>
        <v/>
      </c>
      <c r="U96" s="6">
        <f>Gara_9!BL$9</f>
        <v/>
      </c>
      <c r="V96" s="6">
        <f>Gara_9!BM$9</f>
        <v/>
      </c>
      <c r="W96" s="6">
        <f>Gara_9!BN$9</f>
        <v/>
      </c>
      <c r="X96" s="6">
        <f>Gara_9!BO$9</f>
        <v/>
      </c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</row>
    <row r="97" hidden="1" ht="12.75" customHeight="1" s="111">
      <c r="A97" s="6" t="n"/>
      <c r="B97" s="6" t="n"/>
      <c r="C97" s="92" t="n">
        <v>10</v>
      </c>
      <c r="D97" s="6">
        <f>Gara_10!BA$9</f>
        <v/>
      </c>
      <c r="E97" s="6">
        <f>Gara_10!BB$9</f>
        <v/>
      </c>
      <c r="F97" s="6">
        <f>Gara_10!BC$9</f>
        <v/>
      </c>
      <c r="G97" s="6">
        <f>Gara_10!BD$9</f>
        <v/>
      </c>
      <c r="H97" s="6">
        <f>Gara_10!BE$9</f>
        <v/>
      </c>
      <c r="I97" s="6">
        <f>Gara_10!BF$9</f>
        <v/>
      </c>
      <c r="J97" s="6" t="n"/>
      <c r="K97" s="6" t="n"/>
      <c r="L97" s="6" t="n"/>
      <c r="M97" s="6" t="n"/>
      <c r="N97" s="6" t="n"/>
      <c r="O97" s="6" t="n"/>
      <c r="P97" s="6" t="n"/>
      <c r="Q97" s="6" t="n"/>
      <c r="R97" s="92" t="n">
        <v>10</v>
      </c>
      <c r="S97" s="6">
        <f>Gara_10!BJ$9</f>
        <v/>
      </c>
      <c r="T97" s="6">
        <f>Gara_10!BK$9</f>
        <v/>
      </c>
      <c r="U97" s="6">
        <f>Gara_10!BL$9</f>
        <v/>
      </c>
      <c r="V97" s="6">
        <f>Gara_10!BM$9</f>
        <v/>
      </c>
      <c r="W97" s="6">
        <f>Gara_10!BN$9</f>
        <v/>
      </c>
      <c r="X97" s="6">
        <f>Gara_10!BO$9</f>
        <v/>
      </c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</row>
    <row r="98" hidden="1" ht="12.75" customHeight="1" s="111">
      <c r="A98" s="6" t="n"/>
      <c r="B98" s="6" t="n"/>
      <c r="C98" s="92" t="n">
        <v>11</v>
      </c>
      <c r="D98" s="6">
        <f>Gara_11!BA$9</f>
        <v/>
      </c>
      <c r="E98" s="6">
        <f>Gara_11!BB$9</f>
        <v/>
      </c>
      <c r="F98" s="6">
        <f>Gara_11!BC$9</f>
        <v/>
      </c>
      <c r="G98" s="6">
        <f>Gara_11!BD$9</f>
        <v/>
      </c>
      <c r="H98" s="6">
        <f>Gara_11!BE$9</f>
        <v/>
      </c>
      <c r="I98" s="6">
        <f>Gara_11!BF$9</f>
        <v/>
      </c>
      <c r="J98" s="6" t="n"/>
      <c r="K98" s="6" t="n"/>
      <c r="L98" s="6" t="n"/>
      <c r="M98" s="6" t="n"/>
      <c r="N98" s="6" t="n"/>
      <c r="O98" s="6" t="n"/>
      <c r="P98" s="6" t="n"/>
      <c r="Q98" s="6" t="n"/>
      <c r="R98" s="92" t="n">
        <v>11</v>
      </c>
      <c r="S98" s="6">
        <f>Gara_11!BJ$9</f>
        <v/>
      </c>
      <c r="T98" s="6">
        <f>Gara_11!BK$9</f>
        <v/>
      </c>
      <c r="U98" s="6">
        <f>Gara_11!BL$9</f>
        <v/>
      </c>
      <c r="V98" s="6">
        <f>Gara_11!BM$9</f>
        <v/>
      </c>
      <c r="W98" s="6">
        <f>Gara_11!BN$9</f>
        <v/>
      </c>
      <c r="X98" s="6">
        <f>Gara_11!BO$9</f>
        <v/>
      </c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</row>
    <row r="99" hidden="1" ht="12.75" customHeight="1" s="111">
      <c r="A99" s="6" t="n"/>
      <c r="B99" s="6" t="n"/>
      <c r="C99" s="92" t="n">
        <v>12</v>
      </c>
      <c r="D99" s="6">
        <f>Gara_12!BA$9</f>
        <v/>
      </c>
      <c r="E99" s="6">
        <f>Gara_12!BB$9</f>
        <v/>
      </c>
      <c r="F99" s="6">
        <f>Gara_12!BC$9</f>
        <v/>
      </c>
      <c r="G99" s="6">
        <f>Gara_12!BD$9</f>
        <v/>
      </c>
      <c r="H99" s="6">
        <f>Gara_12!BE$9</f>
        <v/>
      </c>
      <c r="I99" s="6">
        <f>Gara_12!BF$9</f>
        <v/>
      </c>
      <c r="J99" s="6" t="n"/>
      <c r="K99" s="6" t="n"/>
      <c r="L99" s="6" t="n"/>
      <c r="M99" s="6" t="n"/>
      <c r="N99" s="6" t="n"/>
      <c r="O99" s="6" t="n"/>
      <c r="P99" s="6" t="n"/>
      <c r="Q99" s="6" t="n"/>
      <c r="R99" s="92" t="n">
        <v>12</v>
      </c>
      <c r="S99" s="6">
        <f>Gara_12!BJ$9</f>
        <v/>
      </c>
      <c r="T99" s="6">
        <f>Gara_12!BK$9</f>
        <v/>
      </c>
      <c r="U99" s="6">
        <f>Gara_12!BL$9</f>
        <v/>
      </c>
      <c r="V99" s="6">
        <f>Gara_12!BM$9</f>
        <v/>
      </c>
      <c r="W99" s="6">
        <f>Gara_12!BN$9</f>
        <v/>
      </c>
      <c r="X99" s="6">
        <f>Gara_12!BO$9</f>
        <v/>
      </c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</row>
    <row r="100" hidden="1" ht="12.75" customHeight="1" s="111">
      <c r="A100" s="6" t="n"/>
      <c r="B100" s="6" t="n"/>
      <c r="C100" s="92" t="n">
        <v>13</v>
      </c>
      <c r="D100" s="6">
        <f>Gara_13!BA$9</f>
        <v/>
      </c>
      <c r="E100" s="6">
        <f>Gara_13!BB$9</f>
        <v/>
      </c>
      <c r="F100" s="6">
        <f>Gara_13!BC$9</f>
        <v/>
      </c>
      <c r="G100" s="6">
        <f>Gara_13!BD$9</f>
        <v/>
      </c>
      <c r="H100" s="6">
        <f>Gara_13!BE$9</f>
        <v/>
      </c>
      <c r="I100" s="6">
        <f>Gara_13!BF$9</f>
        <v/>
      </c>
      <c r="J100" s="6" t="n"/>
      <c r="K100" s="6" t="n"/>
      <c r="L100" s="6" t="n"/>
      <c r="M100" s="6" t="n"/>
      <c r="N100" s="6" t="n"/>
      <c r="O100" s="6" t="n"/>
      <c r="P100" s="6" t="n"/>
      <c r="Q100" s="6" t="n"/>
      <c r="R100" s="92" t="n">
        <v>13</v>
      </c>
      <c r="S100" s="6">
        <f>Gara_13!BJ$9</f>
        <v/>
      </c>
      <c r="T100" s="6">
        <f>Gara_13!BK$9</f>
        <v/>
      </c>
      <c r="U100" s="6">
        <f>Gara_13!BL$9</f>
        <v/>
      </c>
      <c r="V100" s="6">
        <f>Gara_13!BM$9</f>
        <v/>
      </c>
      <c r="W100" s="6">
        <f>Gara_13!BN$9</f>
        <v/>
      </c>
      <c r="X100" s="6">
        <f>Gara_13!BO$9</f>
        <v/>
      </c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</row>
    <row r="101" hidden="1" ht="12.75" customHeight="1" s="111">
      <c r="A101" s="6" t="n"/>
      <c r="B101" s="6" t="n"/>
      <c r="C101" s="92" t="n">
        <v>14</v>
      </c>
      <c r="D101" s="6">
        <f>Gara_14!BA$9</f>
        <v/>
      </c>
      <c r="E101" s="6">
        <f>Gara_14!BB$9</f>
        <v/>
      </c>
      <c r="F101" s="6">
        <f>Gara_14!BC$9</f>
        <v/>
      </c>
      <c r="G101" s="6">
        <f>Gara_14!BD$9</f>
        <v/>
      </c>
      <c r="H101" s="6">
        <f>Gara_14!BE$9</f>
        <v/>
      </c>
      <c r="I101" s="6">
        <f>Gara_14!BF$9</f>
        <v/>
      </c>
      <c r="J101" s="6" t="n"/>
      <c r="K101" s="6" t="n"/>
      <c r="L101" s="6" t="n"/>
      <c r="M101" s="6" t="n"/>
      <c r="N101" s="6" t="n"/>
      <c r="O101" s="6" t="n"/>
      <c r="P101" s="6" t="n"/>
      <c r="Q101" s="6" t="n"/>
      <c r="R101" s="92" t="n">
        <v>14</v>
      </c>
      <c r="S101" s="6">
        <f>Gara_14!BJ$9</f>
        <v/>
      </c>
      <c r="T101" s="6">
        <f>Gara_14!BK$9</f>
        <v/>
      </c>
      <c r="U101" s="6">
        <f>Gara_14!BL$9</f>
        <v/>
      </c>
      <c r="V101" s="6">
        <f>Gara_14!BM$9</f>
        <v/>
      </c>
      <c r="W101" s="6">
        <f>Gara_14!BN$9</f>
        <v/>
      </c>
      <c r="X101" s="6">
        <f>Gara_14!BO$9</f>
        <v/>
      </c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</row>
    <row r="102" hidden="1" ht="12.75" customHeight="1" s="111">
      <c r="A102" s="6" t="n"/>
      <c r="B102" s="6" t="n"/>
      <c r="C102" s="92" t="n">
        <v>15</v>
      </c>
      <c r="D102" s="6">
        <f>Gara_15!BA$9</f>
        <v/>
      </c>
      <c r="E102" s="6">
        <f>Gara_15!BB$9</f>
        <v/>
      </c>
      <c r="F102" s="6">
        <f>Gara_15!BC$9</f>
        <v/>
      </c>
      <c r="G102" s="6">
        <f>Gara_15!BD$9</f>
        <v/>
      </c>
      <c r="H102" s="6">
        <f>Gara_15!BE$9</f>
        <v/>
      </c>
      <c r="I102" s="6">
        <f>Gara_15!BF$9</f>
        <v/>
      </c>
      <c r="J102" s="6" t="n"/>
      <c r="K102" s="6" t="n"/>
      <c r="L102" s="6" t="n"/>
      <c r="M102" s="6" t="n"/>
      <c r="N102" s="6" t="n"/>
      <c r="O102" s="6" t="n"/>
      <c r="P102" s="6" t="n"/>
      <c r="Q102" s="6" t="n"/>
      <c r="R102" s="92" t="n">
        <v>15</v>
      </c>
      <c r="S102" s="6">
        <f>Gara_15!BJ$9</f>
        <v/>
      </c>
      <c r="T102" s="6">
        <f>Gara_15!BK$9</f>
        <v/>
      </c>
      <c r="U102" s="6">
        <f>Gara_15!BL$9</f>
        <v/>
      </c>
      <c r="V102" s="6">
        <f>Gara_15!BM$9</f>
        <v/>
      </c>
      <c r="W102" s="6">
        <f>Gara_15!BN$9</f>
        <v/>
      </c>
      <c r="X102" s="6">
        <f>Gara_15!BO$9</f>
        <v/>
      </c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</row>
    <row r="103" hidden="1" ht="12.75" customHeight="1" s="1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</row>
    <row r="104" hidden="1" ht="12.75" customHeight="1" s="1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</row>
    <row r="105" hidden="1" ht="12.75" customHeight="1" s="1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</row>
    <row r="106" ht="12.75" customHeight="1" s="1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</row>
    <row r="107" ht="12.75" customHeight="1" s="1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</row>
    <row r="108" ht="12.75" customHeight="1" s="1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</row>
    <row r="109" ht="12.75" customHeight="1" s="1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</row>
    <row r="110" ht="12.75" customHeight="1" s="1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</row>
    <row r="111" ht="12.75" customHeight="1" s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</row>
    <row r="112" ht="12.75" customHeight="1" s="1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</row>
    <row r="113" ht="12.75" customHeight="1" s="1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</row>
    <row r="114" ht="12.75" customHeight="1" s="1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</row>
    <row r="115" ht="12.75" customHeight="1" s="1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</row>
    <row r="116" ht="12.75" customHeight="1" s="1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</row>
    <row r="117" ht="12.75" customHeight="1" s="1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</row>
    <row r="118" ht="12.75" customHeight="1" s="1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</row>
    <row r="119" ht="12.75" customHeight="1" s="1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</row>
    <row r="120" ht="12.75" customHeight="1" s="1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</row>
    <row r="121" ht="12.75" customHeight="1" s="1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</row>
    <row r="122" ht="12.75" customHeight="1" s="1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</row>
    <row r="123" ht="12.75" customHeight="1" s="1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</row>
    <row r="124" ht="12.75" customHeight="1" s="1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</row>
    <row r="125" ht="12.75" customHeight="1" s="1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</row>
    <row r="126" ht="12.75" customHeight="1" s="1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</row>
    <row r="127" ht="12.75" customHeight="1" s="1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</row>
    <row r="128" ht="12.75" customHeight="1" s="1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</row>
    <row r="129" ht="12.75" customHeight="1" s="1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</row>
    <row r="130" ht="12.75" customHeight="1" s="1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</row>
    <row r="131" ht="12.75" customHeight="1" s="1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</row>
    <row r="132" ht="12.75" customHeight="1" s="1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</row>
    <row r="133" ht="12.75" customHeight="1" s="1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</row>
    <row r="134" ht="12.75" customHeight="1" s="1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</row>
    <row r="135" ht="12.75" customHeight="1" s="1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</row>
    <row r="136" ht="12.75" customHeight="1" s="11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</row>
    <row r="137" ht="12.75" customHeight="1" s="11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</row>
    <row r="138" ht="12.75" customHeight="1" s="11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</row>
    <row r="139" ht="12.75" customHeight="1" s="11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</row>
    <row r="140" ht="12.75" customHeight="1" s="11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</row>
    <row r="141" ht="12.75" customHeight="1" s="11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</row>
    <row r="142" ht="12.75" customHeight="1" s="11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</row>
    <row r="143" ht="12.75" customHeight="1" s="11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</row>
    <row r="144" ht="12.75" customHeight="1" s="11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</row>
    <row r="145" ht="12.75" customHeight="1" s="11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</row>
    <row r="146" ht="12.75" customHeight="1" s="11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</row>
    <row r="147" ht="12.75" customHeight="1" s="11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</row>
    <row r="148" ht="12.75" customHeight="1" s="11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</row>
    <row r="149" ht="12.75" customHeight="1" s="11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</row>
    <row r="150" ht="12.75" customHeight="1" s="11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</row>
    <row r="151" ht="12.75" customHeight="1" s="11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</row>
    <row r="152" ht="12.75" customHeight="1" s="11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</row>
    <row r="153" ht="12.75" customHeight="1" s="11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</row>
    <row r="154" ht="12.75" customHeight="1" s="11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</row>
    <row r="155" ht="12.75" customHeight="1" s="11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</row>
    <row r="156" ht="12.75" customHeight="1" s="11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</row>
    <row r="157" ht="12.75" customHeight="1" s="11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</row>
    <row r="158" ht="12.75" customHeight="1" s="11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</row>
    <row r="159" ht="12.75" customHeight="1" s="11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</row>
    <row r="160" ht="12.75" customHeight="1" s="11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</row>
    <row r="161" ht="12.75" customHeight="1" s="11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</row>
    <row r="162" ht="12.75" customHeight="1" s="11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</row>
    <row r="163" ht="12.75" customHeight="1" s="11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</row>
    <row r="164" ht="12.75" customHeight="1" s="11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</row>
    <row r="165" ht="12.75" customHeight="1" s="11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</row>
    <row r="166" ht="12.75" customHeight="1" s="11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</row>
    <row r="167" ht="12.75" customHeight="1" s="11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</row>
    <row r="168" ht="12.75" customHeight="1" s="11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</row>
    <row r="169" ht="12.75" customHeight="1" s="11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</row>
    <row r="170" ht="12.75" customHeight="1" s="11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</row>
    <row r="171" ht="12.75" customHeight="1" s="11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</row>
    <row r="172" ht="12.75" customHeight="1" s="11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</row>
    <row r="173" ht="12.75" customHeight="1" s="11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</row>
    <row r="174" ht="12.75" customHeight="1" s="11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</row>
    <row r="175" ht="12.75" customHeight="1" s="11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</row>
    <row r="176" ht="12.75" customHeight="1" s="11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</row>
    <row r="177" ht="12.75" customHeight="1" s="11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</row>
    <row r="178" ht="12.75" customHeight="1" s="11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</row>
    <row r="179" ht="12.75" customHeight="1" s="11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</row>
    <row r="180" ht="12.75" customHeight="1" s="11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</row>
    <row r="181" ht="12.75" customHeight="1" s="11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</row>
    <row r="182" ht="12.75" customHeight="1" s="11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</row>
    <row r="183" ht="12.75" customHeight="1" s="11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</row>
    <row r="184" ht="12.75" customHeight="1" s="11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</row>
    <row r="185" ht="12.75" customHeight="1" s="11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</row>
    <row r="186" ht="12.75" customHeight="1" s="11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</row>
    <row r="187" ht="12.75" customHeight="1" s="11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</row>
    <row r="188" ht="12.75" customHeight="1" s="11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</row>
    <row r="189" ht="12.75" customHeight="1" s="11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</row>
    <row r="190" ht="12.75" customHeight="1" s="11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</row>
    <row r="191" ht="12.75" customHeight="1" s="11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</row>
    <row r="192" ht="12.75" customHeight="1" s="11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</row>
    <row r="193" ht="12.75" customHeight="1" s="11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</row>
    <row r="194" ht="12.75" customHeight="1" s="11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</row>
    <row r="195" ht="12.75" customHeight="1" s="11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</row>
    <row r="196" ht="12.75" customHeight="1" s="11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</row>
    <row r="197" ht="12.75" customHeight="1" s="11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</row>
    <row r="198" ht="12.75" customHeight="1" s="11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</row>
    <row r="199" ht="12.75" customHeight="1" s="11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</row>
    <row r="200" ht="12.75" customHeight="1" s="11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</row>
    <row r="201" ht="12.75" customHeight="1" s="11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</row>
    <row r="202" ht="12.75" customHeight="1" s="11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</row>
    <row r="203" ht="12.75" customHeight="1" s="11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</row>
    <row r="204" ht="12.75" customHeight="1" s="11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</row>
    <row r="205" ht="12.75" customHeight="1" s="11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</row>
    <row r="206" ht="12.75" customHeight="1" s="11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</row>
    <row r="207" ht="12.75" customHeight="1" s="11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</row>
    <row r="208" ht="12.75" customHeight="1" s="11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</row>
    <row r="209" ht="12.75" customHeight="1" s="11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</row>
    <row r="210" ht="12.75" customHeight="1" s="11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</row>
    <row r="211" ht="12.75" customHeight="1" s="1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</row>
    <row r="212" ht="12.75" customHeight="1" s="11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</row>
    <row r="213" ht="12.75" customHeight="1" s="11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</row>
    <row r="214" ht="12.75" customHeight="1" s="11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</row>
    <row r="215" ht="12.75" customHeight="1" s="11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</row>
    <row r="216" ht="12.75" customHeight="1" s="11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</row>
    <row r="217" ht="12.75" customHeight="1" s="11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</row>
    <row r="218" ht="12.75" customHeight="1" s="11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</row>
    <row r="219" ht="12.75" customHeight="1" s="11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</row>
    <row r="220" ht="12.75" customHeight="1" s="11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</row>
    <row r="221" ht="12.75" customHeight="1" s="11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</row>
    <row r="222" ht="12.75" customHeight="1" s="11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</row>
    <row r="223" ht="12.75" customHeight="1" s="11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</row>
    <row r="224" ht="12.75" customHeight="1" s="11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</row>
    <row r="225" ht="12.75" customHeight="1" s="11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</row>
    <row r="226" ht="12.75" customHeight="1" s="11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</row>
    <row r="227" ht="12.75" customHeight="1" s="11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</row>
    <row r="228" ht="12.75" customHeight="1" s="11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</row>
    <row r="229" ht="12.75" customHeight="1" s="11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</row>
    <row r="230" ht="12.75" customHeight="1" s="11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</row>
    <row r="231" ht="12.75" customHeight="1" s="11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</row>
    <row r="232" ht="12.75" customHeight="1" s="11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</row>
    <row r="233" ht="12.75" customHeight="1" s="11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</row>
    <row r="234" ht="12.75" customHeight="1" s="11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</row>
    <row r="235" ht="12.75" customHeight="1" s="11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</row>
    <row r="236" ht="12.75" customHeight="1" s="11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</row>
    <row r="237" ht="12.75" customHeight="1" s="11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</row>
    <row r="238" ht="12.75" customHeight="1" s="11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</row>
    <row r="239" ht="12.75" customHeight="1" s="11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</row>
    <row r="240" ht="12.75" customHeight="1" s="11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</row>
    <row r="241" ht="12.75" customHeight="1" s="11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</row>
    <row r="242" ht="12.75" customHeight="1" s="11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</row>
    <row r="243" ht="12.75" customHeight="1" s="11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</row>
    <row r="244" ht="12.75" customHeight="1" s="11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</row>
    <row r="245" ht="12.75" customHeight="1" s="11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</row>
    <row r="246" ht="12.75" customHeight="1" s="11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</row>
    <row r="247" ht="12.75" customHeight="1" s="11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</row>
    <row r="248" ht="12.75" customHeight="1" s="11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</row>
    <row r="249" ht="12.75" customHeight="1" s="11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</row>
    <row r="250" ht="12.75" customHeight="1" s="11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</row>
    <row r="251" ht="12.75" customHeight="1" s="11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</row>
    <row r="252" ht="12.75" customHeight="1" s="11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</row>
    <row r="253" ht="12.75" customHeight="1" s="11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</row>
    <row r="254" ht="12.75" customHeight="1" s="11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</row>
    <row r="255" ht="12.75" customHeight="1" s="11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</row>
    <row r="256" ht="12.75" customHeight="1" s="11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</row>
    <row r="257" ht="12.75" customHeight="1" s="11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</row>
    <row r="258" ht="12.75" customHeight="1" s="11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</row>
    <row r="259" ht="12.75" customHeight="1" s="11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</row>
    <row r="260" ht="12.75" customHeight="1" s="11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</row>
    <row r="261" ht="12.75" customHeight="1" s="11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</row>
    <row r="262" ht="12.75" customHeight="1" s="11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</row>
    <row r="263" ht="12.75" customHeight="1" s="11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</row>
    <row r="264" ht="12.75" customHeight="1" s="11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</row>
    <row r="265" ht="12.75" customHeight="1" s="11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</row>
    <row r="266" ht="12.75" customHeight="1" s="11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</row>
    <row r="267" ht="12.75" customHeight="1" s="11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</row>
    <row r="268" ht="12.75" customHeight="1" s="11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</row>
    <row r="269" ht="12.75" customHeight="1" s="11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</row>
    <row r="270" ht="12.75" customHeight="1" s="11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</row>
    <row r="271" ht="12.75" customHeight="1" s="11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</row>
    <row r="272" ht="12.75" customHeight="1" s="11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</row>
    <row r="273" ht="12.75" customHeight="1" s="11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</row>
    <row r="274" ht="12.75" customHeight="1" s="11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</row>
    <row r="275" ht="12.75" customHeight="1" s="11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</row>
    <row r="276" ht="12.75" customHeight="1" s="11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</row>
    <row r="277" ht="12.75" customHeight="1" s="11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</row>
    <row r="278" ht="12.75" customHeight="1" s="11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</row>
    <row r="279" ht="12.75" customHeight="1" s="11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</row>
    <row r="280" ht="12.75" customHeight="1" s="11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</row>
    <row r="281" ht="12.75" customHeight="1" s="11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</row>
    <row r="282" ht="12.75" customHeight="1" s="11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</row>
    <row r="283" ht="12.75" customHeight="1" s="11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</row>
    <row r="284" ht="12.75" customHeight="1" s="11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</row>
    <row r="285" ht="12.75" customHeight="1" s="11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</row>
    <row r="286" ht="12.75" customHeight="1" s="11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</row>
    <row r="287" ht="12.75" customHeight="1" s="11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</row>
    <row r="288" ht="12.75" customHeight="1" s="11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</row>
    <row r="289" ht="12.75" customHeight="1" s="11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</row>
    <row r="290" ht="12.75" customHeight="1" s="11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</row>
    <row r="291" ht="12.75" customHeight="1" s="11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</row>
    <row r="292" ht="12.75" customHeight="1" s="11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</row>
    <row r="293" ht="12.75" customHeight="1" s="11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</row>
    <row r="294" ht="12.75" customHeight="1" s="11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</row>
    <row r="295" ht="12.75" customHeight="1" s="11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</row>
    <row r="296" ht="12.75" customHeight="1" s="11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</row>
    <row r="297" ht="12.75" customHeight="1" s="11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</row>
    <row r="298" ht="12.75" customHeight="1" s="11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</row>
    <row r="299" ht="12.75" customHeight="1" s="11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</row>
    <row r="300" ht="12.75" customHeight="1" s="11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</row>
    <row r="301" ht="12.75" customHeight="1" s="11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</row>
    <row r="302" ht="12.75" customHeight="1" s="11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</row>
    <row r="303" ht="12.75" customHeight="1" s="11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</row>
    <row r="304" ht="12.75" customHeight="1" s="11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</row>
    <row r="305" ht="12.75" customHeight="1" s="11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</row>
    <row r="306" ht="12.75" customHeight="1" s="11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</row>
    <row r="307" ht="12.75" customHeight="1" s="11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</row>
    <row r="308" ht="12.75" customHeight="1" s="11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</row>
    <row r="309" ht="12.75" customHeight="1" s="11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</row>
    <row r="310" ht="12.75" customHeight="1" s="11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</row>
    <row r="311" ht="12.75" customHeight="1" s="1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</row>
    <row r="312" ht="12.75" customHeight="1" s="11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</row>
    <row r="313" ht="12.75" customHeight="1" s="11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</row>
    <row r="314" ht="12.75" customHeight="1" s="11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</row>
    <row r="315" ht="12.75" customHeight="1" s="11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</row>
    <row r="316" ht="12.75" customHeight="1" s="11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</row>
    <row r="317" ht="12.75" customHeight="1" s="11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</row>
    <row r="318" ht="12.75" customHeight="1" s="11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</row>
    <row r="319" ht="12.75" customHeight="1" s="11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</row>
    <row r="320" ht="12.75" customHeight="1" s="11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</row>
    <row r="321" ht="12.75" customHeight="1" s="11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</row>
    <row r="322" ht="12.75" customHeight="1" s="11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</row>
    <row r="323" ht="12.75" customHeight="1" s="11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</row>
    <row r="324" ht="12.75" customHeight="1" s="11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</row>
    <row r="325" ht="12.75" customHeight="1" s="11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</row>
    <row r="326" ht="12.75" customHeight="1" s="11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</row>
    <row r="327" ht="12.75" customHeight="1" s="11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</row>
    <row r="328" ht="12.75" customHeight="1" s="11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</row>
    <row r="329" ht="12.75" customHeight="1" s="11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</row>
    <row r="330" ht="12.75" customHeight="1" s="11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</row>
    <row r="331" ht="12.75" customHeight="1" s="11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</row>
    <row r="332" ht="12.75" customHeight="1" s="11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</row>
    <row r="333" ht="12.75" customHeight="1" s="11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</row>
    <row r="334" ht="12.75" customHeight="1" s="11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</row>
    <row r="335" ht="12.75" customHeight="1" s="11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</row>
    <row r="336" ht="12.75" customHeight="1" s="11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</row>
    <row r="337" ht="12.75" customHeight="1" s="11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</row>
    <row r="338" ht="12.75" customHeight="1" s="11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</row>
    <row r="339" ht="12.75" customHeight="1" s="11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</row>
    <row r="340" ht="12.75" customHeight="1" s="11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</row>
    <row r="341" ht="12.75" customHeight="1" s="11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</row>
    <row r="342" ht="12.75" customHeight="1" s="11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</row>
    <row r="343" ht="12.75" customHeight="1" s="11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</row>
    <row r="344" ht="12.75" customHeight="1" s="11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</row>
    <row r="345" ht="12.75" customHeight="1" s="11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</row>
    <row r="346" ht="12.75" customHeight="1" s="11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</row>
    <row r="347" ht="12.75" customHeight="1" s="11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</row>
    <row r="348" ht="12.75" customHeight="1" s="11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</row>
    <row r="349" ht="12.75" customHeight="1" s="11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</row>
    <row r="350" ht="12.75" customHeight="1" s="11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</row>
    <row r="351" ht="12.75" customHeight="1" s="11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</row>
    <row r="352" ht="12.75" customHeight="1" s="11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</row>
    <row r="353" ht="12.75" customHeight="1" s="11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</row>
    <row r="354" ht="12.75" customHeight="1" s="11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</row>
    <row r="355" ht="12.75" customHeight="1" s="11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</row>
    <row r="356" ht="12.75" customHeight="1" s="11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</row>
    <row r="357" ht="12.75" customHeight="1" s="11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</row>
    <row r="358" ht="12.75" customHeight="1" s="11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</row>
    <row r="359" ht="12.75" customHeight="1" s="11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</row>
    <row r="360" ht="12.75" customHeight="1" s="11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</row>
    <row r="361" ht="12.75" customHeight="1" s="11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</row>
    <row r="362" ht="12.75" customHeight="1" s="11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</row>
    <row r="363" ht="12.75" customHeight="1" s="11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</row>
    <row r="364" ht="12.75" customHeight="1" s="11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</row>
    <row r="365" ht="12.75" customHeight="1" s="11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</row>
    <row r="366" ht="12.75" customHeight="1" s="11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</row>
    <row r="367" ht="12.75" customHeight="1" s="11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</row>
    <row r="368" ht="12.75" customHeight="1" s="11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</row>
    <row r="369" ht="12.75" customHeight="1" s="11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</row>
    <row r="370" ht="12.75" customHeight="1" s="11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</row>
    <row r="371" ht="12.75" customHeight="1" s="11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</row>
    <row r="372" ht="12.75" customHeight="1" s="11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</row>
    <row r="373" ht="12.75" customHeight="1" s="11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</row>
    <row r="374" ht="12.75" customHeight="1" s="11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</row>
    <row r="375" ht="12.75" customHeight="1" s="11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</row>
    <row r="376" ht="12.75" customHeight="1" s="11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</row>
    <row r="377" ht="12.75" customHeight="1" s="11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</row>
    <row r="378" ht="12.75" customHeight="1" s="11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</row>
    <row r="379" ht="12.75" customHeight="1" s="11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</row>
    <row r="380" ht="12.75" customHeight="1" s="11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</row>
    <row r="381" ht="12.75" customHeight="1" s="11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</row>
    <row r="382" ht="12.75" customHeight="1" s="11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</row>
    <row r="383" ht="12.75" customHeight="1" s="11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</row>
    <row r="384" ht="12.75" customHeight="1" s="11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</row>
    <row r="385" ht="12.75" customHeight="1" s="11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</row>
    <row r="386" ht="12.75" customHeight="1" s="11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</row>
    <row r="387" ht="12.75" customHeight="1" s="11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</row>
    <row r="388" ht="12.75" customHeight="1" s="11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</row>
    <row r="389" ht="12.75" customHeight="1" s="11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</row>
    <row r="390" ht="12.75" customHeight="1" s="11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</row>
    <row r="391" ht="12.75" customHeight="1" s="11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</row>
    <row r="392" ht="12.75" customHeight="1" s="11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</row>
    <row r="393" ht="12.75" customHeight="1" s="11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</row>
    <row r="394" ht="12.75" customHeight="1" s="11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</row>
    <row r="395" ht="12.75" customHeight="1" s="11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</row>
    <row r="396" ht="12.75" customHeight="1" s="11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</row>
    <row r="397" ht="12.75" customHeight="1" s="11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</row>
    <row r="398" ht="12.75" customHeight="1" s="11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</row>
    <row r="399" ht="12.75" customHeight="1" s="11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</row>
    <row r="400" ht="12.75" customHeight="1" s="11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</row>
    <row r="401" ht="12.75" customHeight="1" s="11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</row>
    <row r="402" ht="12.75" customHeight="1" s="11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</row>
    <row r="403" ht="12.75" customHeight="1" s="11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</row>
    <row r="404" ht="12.75" customHeight="1" s="11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</row>
    <row r="405" ht="12.75" customHeight="1" s="11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</row>
    <row r="406" ht="12.75" customHeight="1" s="11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</row>
    <row r="407" ht="12.75" customHeight="1" s="11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</row>
    <row r="408" ht="12.75" customHeight="1" s="11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</row>
    <row r="409" ht="12.75" customHeight="1" s="11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</row>
    <row r="410" ht="12.75" customHeight="1" s="11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</row>
    <row r="411" ht="12.75" customHeight="1" s="1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</row>
    <row r="412" ht="12.75" customHeight="1" s="11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</row>
    <row r="413" ht="12.75" customHeight="1" s="11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</row>
    <row r="414" ht="12.75" customHeight="1" s="11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</row>
    <row r="415" ht="12.75" customHeight="1" s="11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</row>
    <row r="416" ht="12.75" customHeight="1" s="11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</row>
    <row r="417" ht="12.75" customHeight="1" s="111"/>
    <row r="418" ht="12.75" customHeight="1" s="111"/>
    <row r="419" ht="12.75" customHeight="1" s="111"/>
    <row r="420" ht="12.75" customHeight="1" s="111"/>
    <row r="421" ht="12.75" customHeight="1" s="111"/>
    <row r="422" ht="12.75" customHeight="1" s="111"/>
    <row r="423" ht="12.75" customHeight="1" s="111"/>
    <row r="424" ht="12.75" customHeight="1" s="111"/>
    <row r="425" ht="12.75" customHeight="1" s="111"/>
    <row r="426" ht="12.75" customHeight="1" s="111"/>
    <row r="427" ht="12.75" customHeight="1" s="111"/>
    <row r="428" ht="12.75" customHeight="1" s="111"/>
    <row r="429" ht="12.75" customHeight="1" s="111"/>
    <row r="430" ht="12.75" customHeight="1" s="111"/>
    <row r="431" ht="12.75" customHeight="1" s="111"/>
    <row r="432" ht="12.75" customHeight="1" s="111"/>
    <row r="433" ht="12.75" customHeight="1" s="111"/>
    <row r="434" ht="12.75" customHeight="1" s="111"/>
    <row r="435" ht="12.75" customHeight="1" s="111"/>
    <row r="436" ht="12.75" customHeight="1" s="111"/>
    <row r="437" ht="12.75" customHeight="1" s="111"/>
    <row r="438" ht="12.75" customHeight="1" s="111"/>
    <row r="439" ht="12.75" customHeight="1" s="111"/>
    <row r="440" ht="12.75" customHeight="1" s="111"/>
    <row r="441" ht="12.75" customHeight="1" s="111"/>
    <row r="442" ht="12.75" customHeight="1" s="111"/>
    <row r="443" ht="12.75" customHeight="1" s="111"/>
    <row r="444" ht="12.75" customHeight="1" s="111"/>
    <row r="445" ht="12.75" customHeight="1" s="111"/>
    <row r="446" ht="12.75" customHeight="1" s="111"/>
    <row r="447" ht="12.75" customHeight="1" s="111"/>
    <row r="448" ht="12.75" customHeight="1" s="111"/>
    <row r="449" ht="12.75" customHeight="1" s="111"/>
    <row r="450" ht="12.75" customHeight="1" s="111"/>
    <row r="451" ht="12.75" customHeight="1" s="111"/>
    <row r="452" ht="12.75" customHeight="1" s="111"/>
    <row r="453" ht="12.75" customHeight="1" s="111"/>
    <row r="454" ht="12.75" customHeight="1" s="111"/>
    <row r="455" ht="12.75" customHeight="1" s="111"/>
    <row r="456" ht="12.75" customHeight="1" s="111"/>
    <row r="457" ht="12.75" customHeight="1" s="111"/>
    <row r="458" ht="12.75" customHeight="1" s="111"/>
    <row r="459" ht="12.75" customHeight="1" s="111"/>
    <row r="460" ht="12.75" customHeight="1" s="111"/>
    <row r="461" ht="12.75" customHeight="1" s="111"/>
    <row r="462" ht="12.75" customHeight="1" s="111"/>
    <row r="463" ht="12.75" customHeight="1" s="111"/>
    <row r="464" ht="12.75" customHeight="1" s="111"/>
    <row r="465" ht="12.75" customHeight="1" s="111"/>
    <row r="466" ht="12.75" customHeight="1" s="111"/>
    <row r="467" ht="12.75" customHeight="1" s="111"/>
    <row r="468" ht="12.75" customHeight="1" s="111"/>
    <row r="469" ht="12.75" customHeight="1" s="111"/>
    <row r="470" ht="12.75" customHeight="1" s="111"/>
    <row r="471" ht="12.75" customHeight="1" s="111"/>
    <row r="472" ht="12.75" customHeight="1" s="111"/>
    <row r="473" ht="12.75" customHeight="1" s="111"/>
    <row r="474" ht="12.75" customHeight="1" s="111"/>
    <row r="475" ht="12.75" customHeight="1" s="111"/>
    <row r="476" ht="12.75" customHeight="1" s="111"/>
    <row r="477" ht="12.75" customHeight="1" s="111"/>
    <row r="478" ht="12.75" customHeight="1" s="111"/>
    <row r="479" ht="12.75" customHeight="1" s="111"/>
    <row r="480" ht="12.75" customHeight="1" s="111"/>
    <row r="481" ht="12.75" customHeight="1" s="111"/>
    <row r="482" ht="12.75" customHeight="1" s="111"/>
    <row r="483" ht="12.75" customHeight="1" s="111"/>
    <row r="484" ht="12.75" customHeight="1" s="111"/>
    <row r="485" ht="12.75" customHeight="1" s="111"/>
    <row r="486" ht="12.75" customHeight="1" s="111"/>
    <row r="487" ht="12.75" customHeight="1" s="111"/>
    <row r="488" ht="12.75" customHeight="1" s="111"/>
    <row r="489" ht="12.75" customHeight="1" s="111"/>
    <row r="490" ht="12.75" customHeight="1" s="111"/>
    <row r="491" ht="12.75" customHeight="1" s="111"/>
    <row r="492" ht="12.75" customHeight="1" s="111"/>
    <row r="493" ht="12.75" customHeight="1" s="111"/>
    <row r="494" ht="12.75" customHeight="1" s="111"/>
    <row r="495" ht="12.75" customHeight="1" s="111"/>
    <row r="496" ht="12.75" customHeight="1" s="111"/>
    <row r="497" ht="12.75" customHeight="1" s="111"/>
    <row r="498" ht="12.75" customHeight="1" s="111"/>
    <row r="499" ht="12.75" customHeight="1" s="111"/>
    <row r="500" ht="12.75" customHeight="1" s="111"/>
    <row r="501" ht="12.75" customHeight="1" s="111"/>
    <row r="502" ht="12.75" customHeight="1" s="111"/>
    <row r="503" ht="12.75" customHeight="1" s="111"/>
    <row r="504" ht="12.75" customHeight="1" s="111"/>
    <row r="505" ht="12.75" customHeight="1" s="111"/>
    <row r="506" ht="12.75" customHeight="1" s="111"/>
    <row r="507" ht="12.75" customHeight="1" s="111"/>
    <row r="508" ht="12.75" customHeight="1" s="111"/>
    <row r="509" ht="12.75" customHeight="1" s="111"/>
    <row r="510" ht="12.75" customHeight="1" s="111"/>
    <row r="511" ht="12.75" customHeight="1" s="111"/>
    <row r="512" ht="12.75" customHeight="1" s="111"/>
    <row r="513" ht="12.75" customHeight="1" s="111"/>
    <row r="514" ht="12.75" customHeight="1" s="111"/>
    <row r="515" ht="12.75" customHeight="1" s="111"/>
    <row r="516" ht="12.75" customHeight="1" s="111"/>
    <row r="517" ht="12.75" customHeight="1" s="111"/>
    <row r="518" ht="12.75" customHeight="1" s="111"/>
    <row r="519" ht="12.75" customHeight="1" s="111"/>
    <row r="520" ht="12.75" customHeight="1" s="111"/>
    <row r="521" ht="12.75" customHeight="1" s="111"/>
    <row r="522" ht="12.75" customHeight="1" s="111"/>
    <row r="523" ht="12.75" customHeight="1" s="111"/>
    <row r="524" ht="12.75" customHeight="1" s="111"/>
    <row r="525" ht="12.75" customHeight="1" s="111"/>
    <row r="526" ht="12.75" customHeight="1" s="111"/>
    <row r="527" ht="12.75" customHeight="1" s="111"/>
    <row r="528" ht="12.75" customHeight="1" s="111"/>
    <row r="529" ht="12.75" customHeight="1" s="111"/>
    <row r="530" ht="12.75" customHeight="1" s="111"/>
    <row r="531" ht="12.75" customHeight="1" s="111"/>
    <row r="532" ht="12.75" customHeight="1" s="111"/>
    <row r="533" ht="12.75" customHeight="1" s="111"/>
    <row r="534" ht="12.75" customHeight="1" s="111"/>
    <row r="535" ht="12.75" customHeight="1" s="111"/>
    <row r="536" ht="12.75" customHeight="1" s="111"/>
    <row r="537" ht="12.75" customHeight="1" s="111"/>
    <row r="538" ht="12.75" customHeight="1" s="111"/>
    <row r="539" ht="12.75" customHeight="1" s="111"/>
    <row r="540" ht="12.75" customHeight="1" s="111"/>
    <row r="541" ht="12.75" customHeight="1" s="111"/>
    <row r="542" ht="12.75" customHeight="1" s="111"/>
    <row r="543" ht="12.75" customHeight="1" s="111"/>
    <row r="544" ht="12.75" customHeight="1" s="111"/>
    <row r="545" ht="12.75" customHeight="1" s="111"/>
    <row r="546" ht="12.75" customHeight="1" s="111"/>
    <row r="547" ht="12.75" customHeight="1" s="111"/>
    <row r="548" ht="12.75" customHeight="1" s="111"/>
    <row r="549" ht="12.75" customHeight="1" s="111"/>
    <row r="550" ht="12.75" customHeight="1" s="111"/>
    <row r="551" ht="12.75" customHeight="1" s="111"/>
    <row r="552" ht="12.75" customHeight="1" s="111"/>
    <row r="553" ht="12.75" customHeight="1" s="111"/>
    <row r="554" ht="12.75" customHeight="1" s="111"/>
    <row r="555" ht="12.75" customHeight="1" s="111"/>
    <row r="556" ht="12.75" customHeight="1" s="111"/>
    <row r="557" ht="12.75" customHeight="1" s="111"/>
    <row r="558" ht="12.75" customHeight="1" s="111"/>
    <row r="559" ht="12.75" customHeight="1" s="111"/>
    <row r="560" ht="12.75" customHeight="1" s="111"/>
    <row r="561" ht="12.75" customHeight="1" s="111"/>
    <row r="562" ht="12.75" customHeight="1" s="111"/>
    <row r="563" ht="12.75" customHeight="1" s="111"/>
    <row r="564" ht="12.75" customHeight="1" s="111"/>
    <row r="565" ht="12.75" customHeight="1" s="111"/>
    <row r="566" ht="12.75" customHeight="1" s="111"/>
    <row r="567" ht="12.75" customHeight="1" s="111"/>
    <row r="568" ht="12.75" customHeight="1" s="111"/>
    <row r="569" ht="12.75" customHeight="1" s="111"/>
    <row r="570" ht="12.75" customHeight="1" s="111"/>
    <row r="571" ht="12.75" customHeight="1" s="111"/>
    <row r="572" ht="12.75" customHeight="1" s="111"/>
    <row r="573" ht="12.75" customHeight="1" s="111"/>
    <row r="574" ht="12.75" customHeight="1" s="111"/>
    <row r="575" ht="12.75" customHeight="1" s="111"/>
    <row r="576" ht="12.75" customHeight="1" s="111"/>
    <row r="577" ht="12.75" customHeight="1" s="111"/>
    <row r="578" ht="12.75" customHeight="1" s="111"/>
    <row r="579" ht="12.75" customHeight="1" s="111"/>
    <row r="580" ht="12.75" customHeight="1" s="111"/>
    <row r="581" ht="12.75" customHeight="1" s="111"/>
    <row r="582" ht="12.75" customHeight="1" s="111"/>
    <row r="583" ht="12.75" customHeight="1" s="111"/>
    <row r="584" ht="12.75" customHeight="1" s="111"/>
    <row r="585" ht="12.75" customHeight="1" s="111"/>
    <row r="586" ht="12.75" customHeight="1" s="111"/>
    <row r="587" ht="12.75" customHeight="1" s="111"/>
    <row r="588" ht="12.75" customHeight="1" s="111"/>
    <row r="589" ht="12.75" customHeight="1" s="111"/>
    <row r="590" ht="12.75" customHeight="1" s="111"/>
    <row r="591" ht="12.75" customHeight="1" s="111"/>
    <row r="592" ht="12.75" customHeight="1" s="111"/>
    <row r="593" ht="12.75" customHeight="1" s="111"/>
    <row r="594" ht="12.75" customHeight="1" s="111"/>
    <row r="595" ht="12.75" customHeight="1" s="111"/>
    <row r="596" ht="12.75" customHeight="1" s="111"/>
    <row r="597" ht="12.75" customHeight="1" s="111"/>
    <row r="598" ht="12.75" customHeight="1" s="111"/>
    <row r="599" ht="12.75" customHeight="1" s="111"/>
    <row r="600" ht="12.75" customHeight="1" s="111"/>
    <row r="601" ht="12.75" customHeight="1" s="111"/>
    <row r="602" ht="12.75" customHeight="1" s="111"/>
    <row r="603" ht="12.75" customHeight="1" s="111"/>
    <row r="604" ht="12.75" customHeight="1" s="111"/>
    <row r="605" ht="12.75" customHeight="1" s="111"/>
    <row r="606" ht="12.75" customHeight="1" s="111"/>
    <row r="607" ht="12.75" customHeight="1" s="111"/>
    <row r="608" ht="12.75" customHeight="1" s="111"/>
    <row r="609" ht="12.75" customHeight="1" s="111"/>
    <row r="610" ht="12.75" customHeight="1" s="111"/>
    <row r="611" ht="12.75" customHeight="1" s="111"/>
    <row r="612" ht="12.75" customHeight="1" s="111"/>
    <row r="613" ht="12.75" customHeight="1" s="111"/>
    <row r="614" ht="12.75" customHeight="1" s="111"/>
    <row r="615" ht="12.75" customHeight="1" s="111"/>
    <row r="616" ht="12.75" customHeight="1" s="111"/>
    <row r="617" ht="12.75" customHeight="1" s="111"/>
    <row r="618" ht="12.75" customHeight="1" s="111"/>
    <row r="619" ht="12.75" customHeight="1" s="111"/>
    <row r="620" ht="12.75" customHeight="1" s="111"/>
    <row r="621" ht="12.75" customHeight="1" s="111"/>
    <row r="622" ht="12.75" customHeight="1" s="111"/>
    <row r="623" ht="12.75" customHeight="1" s="111"/>
    <row r="624" ht="12.75" customHeight="1" s="111"/>
    <row r="625" ht="12.75" customHeight="1" s="111"/>
    <row r="626" ht="12.75" customHeight="1" s="111"/>
    <row r="627" ht="12.75" customHeight="1" s="111"/>
    <row r="628" ht="12.75" customHeight="1" s="111"/>
    <row r="629" ht="12.75" customHeight="1" s="111"/>
    <row r="630" ht="12.75" customHeight="1" s="111"/>
    <row r="631" ht="12.75" customHeight="1" s="111"/>
    <row r="632" ht="12.75" customHeight="1" s="111"/>
    <row r="633" ht="12.75" customHeight="1" s="111"/>
    <row r="634" ht="12.75" customHeight="1" s="111"/>
    <row r="635" ht="12.75" customHeight="1" s="111"/>
    <row r="636" ht="12.75" customHeight="1" s="111"/>
    <row r="637" ht="12.75" customHeight="1" s="111"/>
    <row r="638" ht="12.75" customHeight="1" s="111"/>
    <row r="639" ht="12.75" customHeight="1" s="111"/>
    <row r="640" ht="12.75" customHeight="1" s="111"/>
    <row r="641" ht="12.75" customHeight="1" s="111"/>
    <row r="642" ht="12.75" customHeight="1" s="111"/>
    <row r="643" ht="12.75" customHeight="1" s="111"/>
    <row r="644" ht="12.75" customHeight="1" s="111"/>
    <row r="645" ht="12.75" customHeight="1" s="111"/>
    <row r="646" ht="12.75" customHeight="1" s="111"/>
    <row r="647" ht="12.75" customHeight="1" s="111"/>
    <row r="648" ht="12.75" customHeight="1" s="111"/>
    <row r="649" ht="12.75" customHeight="1" s="111"/>
    <row r="650" ht="12.75" customHeight="1" s="111"/>
    <row r="651" ht="12.75" customHeight="1" s="111"/>
    <row r="652" ht="12.75" customHeight="1" s="111"/>
    <row r="653" ht="12.75" customHeight="1" s="111"/>
    <row r="654" ht="12.75" customHeight="1" s="111"/>
    <row r="655" ht="12.75" customHeight="1" s="111"/>
    <row r="656" ht="12.75" customHeight="1" s="111"/>
    <row r="657" ht="12.75" customHeight="1" s="111"/>
    <row r="658" ht="12.75" customHeight="1" s="111"/>
    <row r="659" ht="12.75" customHeight="1" s="111"/>
    <row r="660" ht="12.75" customHeight="1" s="111"/>
    <row r="661" ht="12.75" customHeight="1" s="111"/>
    <row r="662" ht="12.75" customHeight="1" s="111"/>
    <row r="663" ht="12.75" customHeight="1" s="111"/>
    <row r="664" ht="12.75" customHeight="1" s="111"/>
    <row r="665" ht="12.75" customHeight="1" s="111"/>
    <row r="666" ht="12.75" customHeight="1" s="111"/>
    <row r="667" ht="12.75" customHeight="1" s="111"/>
    <row r="668" ht="12.75" customHeight="1" s="111"/>
    <row r="669" ht="12.75" customHeight="1" s="111"/>
    <row r="670" ht="12.75" customHeight="1" s="111"/>
    <row r="671" ht="12.75" customHeight="1" s="111"/>
    <row r="672" ht="12.75" customHeight="1" s="111"/>
    <row r="673" ht="12.75" customHeight="1" s="111"/>
    <row r="674" ht="12.75" customHeight="1" s="111"/>
    <row r="675" ht="12.75" customHeight="1" s="111"/>
    <row r="676" ht="12.75" customHeight="1" s="111"/>
    <row r="677" ht="12.75" customHeight="1" s="111"/>
    <row r="678" ht="12.75" customHeight="1" s="111"/>
    <row r="679" ht="12.75" customHeight="1" s="111"/>
    <row r="680" ht="12.75" customHeight="1" s="111"/>
    <row r="681" ht="12.75" customHeight="1" s="111"/>
    <row r="682" ht="12.75" customHeight="1" s="111"/>
    <row r="683" ht="12.75" customHeight="1" s="111"/>
    <row r="684" ht="12.75" customHeight="1" s="111"/>
    <row r="685" ht="12.75" customHeight="1" s="111"/>
    <row r="686" ht="12.75" customHeight="1" s="111"/>
    <row r="687" ht="12.75" customHeight="1" s="111"/>
    <row r="688" ht="12.75" customHeight="1" s="111"/>
    <row r="689" ht="12.75" customHeight="1" s="111"/>
    <row r="690" ht="12.75" customHeight="1" s="111"/>
    <row r="691" ht="12.75" customHeight="1" s="111"/>
    <row r="692" ht="12.75" customHeight="1" s="111"/>
    <row r="693" ht="12.75" customHeight="1" s="111"/>
    <row r="694" ht="12.75" customHeight="1" s="111"/>
    <row r="695" ht="12.75" customHeight="1" s="111"/>
    <row r="696" ht="12.75" customHeight="1" s="111"/>
    <row r="697" ht="12.75" customHeight="1" s="111"/>
    <row r="698" ht="12.75" customHeight="1" s="111"/>
    <row r="699" ht="12.75" customHeight="1" s="111"/>
    <row r="700" ht="12.75" customHeight="1" s="111"/>
    <row r="701" ht="12.75" customHeight="1" s="111"/>
    <row r="702" ht="12.75" customHeight="1" s="111"/>
    <row r="703" ht="12.75" customHeight="1" s="111"/>
    <row r="704" ht="12.75" customHeight="1" s="111"/>
    <row r="705" ht="12.75" customHeight="1" s="111"/>
    <row r="706" ht="12.75" customHeight="1" s="111"/>
    <row r="707" ht="12.75" customHeight="1" s="111"/>
    <row r="708" ht="12.75" customHeight="1" s="111"/>
    <row r="709" ht="12.75" customHeight="1" s="111"/>
    <row r="710" ht="12.75" customHeight="1" s="111"/>
    <row r="711" ht="12.75" customHeight="1" s="111"/>
    <row r="712" ht="12.75" customHeight="1" s="111"/>
    <row r="713" ht="12.75" customHeight="1" s="111"/>
    <row r="714" ht="12.75" customHeight="1" s="111"/>
    <row r="715" ht="12.75" customHeight="1" s="111"/>
    <row r="716" ht="12.75" customHeight="1" s="111"/>
    <row r="717" ht="12.75" customHeight="1" s="111"/>
    <row r="718" ht="12.75" customHeight="1" s="111"/>
    <row r="719" ht="12.75" customHeight="1" s="111"/>
    <row r="720" ht="12.75" customHeight="1" s="111"/>
    <row r="721" ht="12.75" customHeight="1" s="111"/>
    <row r="722" ht="12.75" customHeight="1" s="111"/>
    <row r="723" ht="12.75" customHeight="1" s="111"/>
    <row r="724" ht="12.75" customHeight="1" s="111"/>
    <row r="725" ht="12.75" customHeight="1" s="111"/>
    <row r="726" ht="12.75" customHeight="1" s="111"/>
    <row r="727" ht="12.75" customHeight="1" s="111"/>
    <row r="728" ht="12.75" customHeight="1" s="111"/>
    <row r="729" ht="12.75" customHeight="1" s="111"/>
    <row r="730" ht="12.75" customHeight="1" s="111"/>
    <row r="731" ht="12.75" customHeight="1" s="111"/>
    <row r="732" ht="12.75" customHeight="1" s="111"/>
    <row r="733" ht="12.75" customHeight="1" s="111"/>
    <row r="734" ht="12.75" customHeight="1" s="111"/>
    <row r="735" ht="12.75" customHeight="1" s="111"/>
    <row r="736" ht="12.75" customHeight="1" s="111"/>
    <row r="737" ht="12.75" customHeight="1" s="111"/>
    <row r="738" ht="12.75" customHeight="1" s="111"/>
    <row r="739" ht="12.75" customHeight="1" s="111"/>
    <row r="740" ht="12.75" customHeight="1" s="111"/>
    <row r="741" ht="12.75" customHeight="1" s="111"/>
    <row r="742" ht="12.75" customHeight="1" s="111"/>
    <row r="743" ht="12.75" customHeight="1" s="111"/>
    <row r="744" ht="12.75" customHeight="1" s="111"/>
    <row r="745" ht="12.75" customHeight="1" s="111"/>
    <row r="746" ht="12.75" customHeight="1" s="111"/>
    <row r="747" ht="12.75" customHeight="1" s="111"/>
    <row r="748" ht="12.75" customHeight="1" s="111"/>
    <row r="749" ht="12.75" customHeight="1" s="111"/>
    <row r="750" ht="12.75" customHeight="1" s="111"/>
    <row r="751" ht="12.75" customHeight="1" s="111"/>
    <row r="752" ht="12.75" customHeight="1" s="111"/>
    <row r="753" ht="12.75" customHeight="1" s="111"/>
    <row r="754" ht="12.75" customHeight="1" s="111"/>
    <row r="755" ht="12.75" customHeight="1" s="111"/>
    <row r="756" ht="12.75" customHeight="1" s="111"/>
    <row r="757" ht="12.75" customHeight="1" s="111"/>
    <row r="758" ht="12.75" customHeight="1" s="111"/>
    <row r="759" ht="12.75" customHeight="1" s="111"/>
    <row r="760" ht="12.75" customHeight="1" s="111"/>
    <row r="761" ht="12.75" customHeight="1" s="111"/>
    <row r="762" ht="12.75" customHeight="1" s="111"/>
    <row r="763" ht="12.75" customHeight="1" s="111"/>
    <row r="764" ht="12.75" customHeight="1" s="111"/>
    <row r="765" ht="12.75" customHeight="1" s="111"/>
    <row r="766" ht="12.75" customHeight="1" s="111"/>
    <row r="767" ht="12.75" customHeight="1" s="111"/>
    <row r="768" ht="12.75" customHeight="1" s="111"/>
    <row r="769" ht="12.75" customHeight="1" s="111"/>
    <row r="770" ht="12.75" customHeight="1" s="111"/>
    <row r="771" ht="12.75" customHeight="1" s="111"/>
    <row r="772" ht="12.75" customHeight="1" s="111"/>
    <row r="773" ht="12.75" customHeight="1" s="111"/>
    <row r="774" ht="12.75" customHeight="1" s="111"/>
    <row r="775" ht="12.75" customHeight="1" s="111"/>
    <row r="776" ht="12.75" customHeight="1" s="111"/>
    <row r="777" ht="12.75" customHeight="1" s="111"/>
    <row r="778" ht="12.75" customHeight="1" s="111"/>
    <row r="779" ht="12.75" customHeight="1" s="111"/>
    <row r="780" ht="12.75" customHeight="1" s="111"/>
    <row r="781" ht="12.75" customHeight="1" s="111"/>
    <row r="782" ht="12.75" customHeight="1" s="111"/>
    <row r="783" ht="12.75" customHeight="1" s="111"/>
    <row r="784" ht="12.75" customHeight="1" s="111"/>
    <row r="785" ht="12.75" customHeight="1" s="111"/>
    <row r="786" ht="12.75" customHeight="1" s="111"/>
    <row r="787" ht="12.75" customHeight="1" s="111"/>
    <row r="788" ht="12.75" customHeight="1" s="111"/>
    <row r="789" ht="12.75" customHeight="1" s="111"/>
    <row r="790" ht="12.75" customHeight="1" s="111"/>
    <row r="791" ht="12.75" customHeight="1" s="111"/>
    <row r="792" ht="12.75" customHeight="1" s="111"/>
    <row r="793" ht="12.75" customHeight="1" s="111"/>
    <row r="794" ht="12.75" customHeight="1" s="111"/>
    <row r="795" ht="12.75" customHeight="1" s="111"/>
    <row r="796" ht="12.75" customHeight="1" s="111"/>
    <row r="797" ht="12.75" customHeight="1" s="111"/>
    <row r="798" ht="12.75" customHeight="1" s="111"/>
    <row r="799" ht="12.75" customHeight="1" s="111"/>
    <row r="800" ht="12.75" customHeight="1" s="111"/>
    <row r="801" ht="12.75" customHeight="1" s="111"/>
    <row r="802" ht="12.75" customHeight="1" s="111"/>
    <row r="803" ht="12.75" customHeight="1" s="111"/>
    <row r="804" ht="12.75" customHeight="1" s="111"/>
    <row r="805" ht="12.75" customHeight="1" s="111"/>
    <row r="806" ht="12.75" customHeight="1" s="111"/>
    <row r="807" ht="12.75" customHeight="1" s="111"/>
    <row r="808" ht="12.75" customHeight="1" s="111"/>
    <row r="809" ht="12.75" customHeight="1" s="111"/>
    <row r="810" ht="12.75" customHeight="1" s="111"/>
    <row r="811" ht="12.75" customHeight="1" s="111"/>
    <row r="812" ht="12.75" customHeight="1" s="111"/>
    <row r="813" ht="12.75" customHeight="1" s="111"/>
    <row r="814" ht="12.75" customHeight="1" s="111"/>
    <row r="815" ht="12.75" customHeight="1" s="111"/>
    <row r="816" ht="12.75" customHeight="1" s="111"/>
    <row r="817" ht="12.75" customHeight="1" s="111"/>
    <row r="818" ht="12.75" customHeight="1" s="111"/>
    <row r="819" ht="12.75" customHeight="1" s="111"/>
    <row r="820" ht="12.75" customHeight="1" s="111"/>
    <row r="821" ht="12.75" customHeight="1" s="111"/>
    <row r="822" ht="12.75" customHeight="1" s="111"/>
    <row r="823" ht="12.75" customHeight="1" s="111"/>
    <row r="824" ht="12.75" customHeight="1" s="111"/>
    <row r="825" ht="12.75" customHeight="1" s="111"/>
    <row r="826" ht="12.75" customHeight="1" s="111"/>
    <row r="827" ht="12.75" customHeight="1" s="111"/>
    <row r="828" ht="12.75" customHeight="1" s="111"/>
    <row r="829" ht="12.75" customHeight="1" s="111"/>
    <row r="830" ht="12.75" customHeight="1" s="111"/>
    <row r="831" ht="12.75" customHeight="1" s="111"/>
    <row r="832" ht="12.75" customHeight="1" s="111"/>
    <row r="833" ht="12.75" customHeight="1" s="111"/>
    <row r="834" ht="12.75" customHeight="1" s="111"/>
    <row r="835" ht="12.75" customHeight="1" s="111"/>
    <row r="836" ht="12.75" customHeight="1" s="111"/>
    <row r="837" ht="12.75" customHeight="1" s="111"/>
    <row r="838" ht="12.75" customHeight="1" s="111"/>
    <row r="839" ht="12.75" customHeight="1" s="111"/>
    <row r="840" ht="12.75" customHeight="1" s="111"/>
    <row r="841" ht="12.75" customHeight="1" s="111"/>
    <row r="842" ht="12.75" customHeight="1" s="111"/>
    <row r="843" ht="12.75" customHeight="1" s="111"/>
    <row r="844" ht="12.75" customHeight="1" s="111"/>
    <row r="845" ht="12.75" customHeight="1" s="111"/>
    <row r="846" ht="12.75" customHeight="1" s="111"/>
    <row r="847" ht="12.75" customHeight="1" s="111"/>
    <row r="848" ht="12.75" customHeight="1" s="111"/>
    <row r="849" ht="12.75" customHeight="1" s="111"/>
    <row r="850" ht="12.75" customHeight="1" s="111"/>
    <row r="851" ht="12.75" customHeight="1" s="111"/>
    <row r="852" ht="12.75" customHeight="1" s="111"/>
    <row r="853" ht="12.75" customHeight="1" s="111"/>
    <row r="854" ht="12.75" customHeight="1" s="111"/>
    <row r="855" ht="12.75" customHeight="1" s="111"/>
    <row r="856" ht="12.75" customHeight="1" s="111"/>
    <row r="857" ht="12.75" customHeight="1" s="111"/>
    <row r="858" ht="12.75" customHeight="1" s="111"/>
    <row r="859" ht="12.75" customHeight="1" s="111"/>
    <row r="860" ht="12.75" customHeight="1" s="111"/>
    <row r="861" ht="12.75" customHeight="1" s="111"/>
    <row r="862" ht="12.75" customHeight="1" s="111"/>
    <row r="863" ht="12.75" customHeight="1" s="111"/>
    <row r="864" ht="12.75" customHeight="1" s="111"/>
    <row r="865" ht="12.75" customHeight="1" s="111"/>
    <row r="866" ht="12.75" customHeight="1" s="111"/>
    <row r="867" ht="12.75" customHeight="1" s="111"/>
    <row r="868" ht="12.75" customHeight="1" s="111"/>
    <row r="869" ht="12.75" customHeight="1" s="111"/>
    <row r="870" ht="12.75" customHeight="1" s="111"/>
    <row r="871" ht="12.75" customHeight="1" s="111"/>
    <row r="872" ht="12.75" customHeight="1" s="111"/>
    <row r="873" ht="12.75" customHeight="1" s="111"/>
    <row r="874" ht="12.75" customHeight="1" s="111"/>
    <row r="875" ht="12.75" customHeight="1" s="111"/>
    <row r="876" ht="12.75" customHeight="1" s="111"/>
    <row r="877" ht="12.75" customHeight="1" s="111"/>
    <row r="878" ht="12.75" customHeight="1" s="111"/>
    <row r="879" ht="12.75" customHeight="1" s="111"/>
    <row r="880" ht="12.75" customHeight="1" s="111"/>
    <row r="881" ht="12.75" customHeight="1" s="111"/>
    <row r="882" ht="12.75" customHeight="1" s="111"/>
    <row r="883" ht="12.75" customHeight="1" s="111"/>
    <row r="884" ht="12.75" customHeight="1" s="111"/>
    <row r="885" ht="12.75" customHeight="1" s="111"/>
    <row r="886" ht="12.75" customHeight="1" s="111"/>
    <row r="887" ht="12.75" customHeight="1" s="111"/>
    <row r="888" ht="12.75" customHeight="1" s="111"/>
    <row r="889" ht="12.75" customHeight="1" s="111"/>
    <row r="890" ht="12.75" customHeight="1" s="111"/>
    <row r="891" ht="12.75" customHeight="1" s="111"/>
    <row r="892" ht="12.75" customHeight="1" s="111"/>
    <row r="893" ht="12.75" customHeight="1" s="111"/>
    <row r="894" ht="12.75" customHeight="1" s="111"/>
    <row r="895" ht="12.75" customHeight="1" s="111"/>
    <row r="896" ht="12.75" customHeight="1" s="111"/>
    <row r="897" ht="12.75" customHeight="1" s="111"/>
    <row r="898" ht="12.75" customHeight="1" s="111"/>
    <row r="899" ht="12.75" customHeight="1" s="111"/>
    <row r="900" ht="12.75" customHeight="1" s="111"/>
    <row r="901" ht="12.75" customHeight="1" s="111"/>
    <row r="902" ht="12.75" customHeight="1" s="111"/>
    <row r="903" ht="12.75" customHeight="1" s="111"/>
    <row r="904" ht="12.75" customHeight="1" s="111"/>
    <row r="905" ht="12.75" customHeight="1" s="111"/>
    <row r="906" ht="12.75" customHeight="1" s="111"/>
    <row r="907" ht="12.75" customHeight="1" s="111"/>
    <row r="908" ht="12.75" customHeight="1" s="111"/>
    <row r="909" ht="12.75" customHeight="1" s="111"/>
    <row r="910" ht="12.75" customHeight="1" s="111"/>
    <row r="911" ht="12.75" customHeight="1" s="111"/>
    <row r="912" ht="12.75" customHeight="1" s="111"/>
    <row r="913" ht="12.75" customHeight="1" s="111"/>
    <row r="914" ht="12.75" customHeight="1" s="111"/>
    <row r="915" ht="12.75" customHeight="1" s="111"/>
    <row r="916" ht="12.75" customHeight="1" s="111"/>
    <row r="917" ht="12.75" customHeight="1" s="111"/>
    <row r="918" ht="12.75" customHeight="1" s="111"/>
    <row r="919" ht="12.75" customHeight="1" s="111"/>
    <row r="920" ht="12.75" customHeight="1" s="111"/>
    <row r="921" ht="12.75" customHeight="1" s="111"/>
    <row r="922" ht="12.75" customHeight="1" s="111"/>
    <row r="923" ht="12.75" customHeight="1" s="111"/>
    <row r="924" ht="12.75" customHeight="1" s="111"/>
    <row r="925" ht="12.75" customHeight="1" s="111"/>
    <row r="926" ht="12.75" customHeight="1" s="111"/>
    <row r="927" ht="12.75" customHeight="1" s="111"/>
    <row r="928" ht="12.75" customHeight="1" s="111"/>
    <row r="929" ht="12.75" customHeight="1" s="111"/>
    <row r="930" ht="12.75" customHeight="1" s="111"/>
    <row r="931" ht="12.75" customHeight="1" s="111"/>
    <row r="932" ht="12.75" customHeight="1" s="111"/>
    <row r="933" ht="12.75" customHeight="1" s="111"/>
    <row r="934" ht="12.75" customHeight="1" s="111"/>
    <row r="935" ht="12.75" customHeight="1" s="111"/>
    <row r="936" ht="12.75" customHeight="1" s="111"/>
    <row r="937" ht="12.75" customHeight="1" s="111"/>
    <row r="938" ht="12.75" customHeight="1" s="111"/>
    <row r="939" ht="12.75" customHeight="1" s="111"/>
    <row r="940" ht="12.75" customHeight="1" s="111"/>
    <row r="941" ht="12.75" customHeight="1" s="111"/>
    <row r="942" ht="12.75" customHeight="1" s="111"/>
    <row r="943" ht="12.75" customHeight="1" s="111"/>
    <row r="944" ht="12.75" customHeight="1" s="111"/>
    <row r="945" ht="12.75" customHeight="1" s="111"/>
    <row r="946" ht="12.75" customHeight="1" s="111"/>
    <row r="947" ht="12.75" customHeight="1" s="111"/>
    <row r="948" ht="12.75" customHeight="1" s="111"/>
    <row r="949" ht="12.75" customHeight="1" s="111"/>
    <row r="950" ht="12.75" customHeight="1" s="111"/>
    <row r="951" ht="12.75" customHeight="1" s="111"/>
    <row r="952" ht="12.75" customHeight="1" s="111"/>
    <row r="953" ht="12.75" customHeight="1" s="111"/>
    <row r="954" ht="12.75" customHeight="1" s="111"/>
    <row r="955" ht="12.75" customHeight="1" s="111"/>
    <row r="956" ht="12.75" customHeight="1" s="111"/>
    <row r="957" ht="12.75" customHeight="1" s="111"/>
    <row r="958" ht="12.75" customHeight="1" s="111"/>
    <row r="959" ht="12.75" customHeight="1" s="111"/>
    <row r="960" ht="12.75" customHeight="1" s="111"/>
    <row r="961" ht="12.75" customHeight="1" s="111"/>
    <row r="962" ht="12.75" customHeight="1" s="111"/>
    <row r="963" ht="12.75" customHeight="1" s="111"/>
    <row r="964" ht="12.75" customHeight="1" s="111"/>
    <row r="965" ht="12.75" customHeight="1" s="111"/>
    <row r="966" ht="12.75" customHeight="1" s="111"/>
    <row r="967" ht="12.75" customHeight="1" s="111"/>
    <row r="968" ht="12.75" customHeight="1" s="111"/>
    <row r="969" ht="12.75" customHeight="1" s="111"/>
    <row r="970" ht="12.75" customHeight="1" s="111"/>
    <row r="971" ht="12.75" customHeight="1" s="111"/>
    <row r="972" ht="12.75" customHeight="1" s="111"/>
    <row r="973" ht="12.75" customHeight="1" s="111"/>
    <row r="974" ht="12.75" customHeight="1" s="111"/>
    <row r="975" ht="12.75" customHeight="1" s="111"/>
    <row r="976" ht="12.75" customHeight="1" s="111"/>
    <row r="977" ht="12.75" customHeight="1" s="111"/>
    <row r="978" ht="12.75" customHeight="1" s="111"/>
    <row r="979" ht="12.75" customHeight="1" s="111"/>
    <row r="980" ht="12.75" customHeight="1" s="111"/>
    <row r="981" ht="12.75" customHeight="1" s="111"/>
    <row r="982" ht="12.75" customHeight="1" s="111"/>
    <row r="983" ht="12.75" customHeight="1" s="111"/>
    <row r="984" ht="12.75" customHeight="1" s="111"/>
    <row r="985" ht="12.75" customHeight="1" s="111"/>
    <row r="986" ht="12.75" customHeight="1" s="111"/>
    <row r="987" ht="12.75" customHeight="1" s="111"/>
    <row r="988" ht="12.75" customHeight="1" s="111"/>
    <row r="989" ht="12.75" customHeight="1" s="111"/>
    <row r="990" ht="12.75" customHeight="1" s="111"/>
    <row r="991" ht="12.75" customHeight="1" s="111"/>
    <row r="992" ht="12.75" customHeight="1" s="111"/>
    <row r="993" ht="12.75" customHeight="1" s="111"/>
    <row r="994" ht="12.75" customHeight="1" s="111"/>
    <row r="995" ht="12.75" customHeight="1" s="111"/>
    <row r="996" ht="12.75" customHeight="1" s="111"/>
    <row r="997" ht="12.75" customHeight="1" s="111"/>
    <row r="998" ht="12.75" customHeight="1" s="111"/>
    <row r="999" ht="12.75" customHeight="1" s="111"/>
    <row r="1000" ht="12.75" customHeight="1" s="111"/>
  </sheetData>
  <mergeCells count="6">
    <mergeCell ref="P1:AD1"/>
    <mergeCell ref="A1:O1"/>
    <mergeCell ref="D80:L80"/>
    <mergeCell ref="S80:AA80"/>
    <mergeCell ref="D3:L3"/>
    <mergeCell ref="S3:AA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2026-09-24T09:10:07Z</dcterms:created>
  <dcterms:modified xmlns:dcterms="http://purl.org/dc/terms/" xmlns:xsi="http://www.w3.org/2001/XMLSchema-instance" xsi:type="dcterms:W3CDTF">2026-09-24T09:10:09Z</dcterms:modified>
</cp:coreProperties>
</file>